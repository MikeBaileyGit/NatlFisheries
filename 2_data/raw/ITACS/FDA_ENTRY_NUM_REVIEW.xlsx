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orgetown\2020 Fall\MDI\NFI\NatlFisheriesGit\2_data\raw\ITACS\"/>
    </mc:Choice>
  </mc:AlternateContent>
  <xr:revisionPtr revIDLastSave="0" documentId="13_ncr:1_{B3743CC8-49F6-4475-918D-F313C7ACEFEA}" xr6:coauthVersionLast="45" xr6:coauthVersionMax="45" xr10:uidLastSave="{00000000-0000-0000-0000-000000000000}"/>
  <bookViews>
    <workbookView xWindow="38280" yWindow="1170" windowWidth="11760" windowHeight="2013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9" i="2" l="1"/>
  <c r="AA30" i="2"/>
  <c r="AA33" i="2"/>
  <c r="AA34" i="2"/>
  <c r="AA38" i="2"/>
  <c r="AA42" i="2"/>
  <c r="AA43" i="2"/>
  <c r="AA46" i="2"/>
  <c r="AA48" i="2"/>
  <c r="AA50" i="2"/>
  <c r="AA52" i="2"/>
  <c r="AA53" i="2"/>
  <c r="AA28" i="2"/>
  <c r="AA6" i="2"/>
  <c r="AA9" i="2"/>
  <c r="AA10" i="2"/>
  <c r="AA13" i="2"/>
  <c r="AA14" i="2"/>
  <c r="AA18" i="2"/>
  <c r="AA20" i="2"/>
  <c r="AA21" i="2"/>
  <c r="AA22" i="2"/>
  <c r="AA23" i="2"/>
  <c r="AA26" i="2"/>
  <c r="Z51" i="2"/>
  <c r="AA51" i="2" s="1"/>
  <c r="Z50" i="2"/>
  <c r="Y49" i="2"/>
  <c r="AA49" i="2" s="1"/>
  <c r="Z47" i="2"/>
  <c r="AA47" i="2" s="1"/>
  <c r="Y46" i="2"/>
  <c r="Y45" i="2"/>
  <c r="AA45" i="2" s="1"/>
  <c r="Y44" i="2"/>
  <c r="AA44" i="2" s="1"/>
  <c r="Y34" i="2"/>
  <c r="Y35" i="2"/>
  <c r="AA35" i="2" s="1"/>
  <c r="Y36" i="2"/>
  <c r="AA36" i="2" s="1"/>
  <c r="Y37" i="2"/>
  <c r="AA37" i="2" s="1"/>
  <c r="Y38" i="2"/>
  <c r="Y39" i="2"/>
  <c r="AA39" i="2" s="1"/>
  <c r="Y40" i="2"/>
  <c r="AA40" i="2" s="1"/>
  <c r="Y41" i="2"/>
  <c r="AA41" i="2" s="1"/>
  <c r="Y42" i="2"/>
  <c r="Y33" i="2"/>
  <c r="Z32" i="2"/>
  <c r="AA32" i="2" s="1"/>
  <c r="Y31" i="2"/>
  <c r="AA31" i="2" s="1"/>
  <c r="Z28" i="2"/>
  <c r="Z26" i="2"/>
  <c r="Y25" i="2"/>
  <c r="AA25" i="2" s="1"/>
  <c r="Y24" i="2"/>
  <c r="AA24" i="2" s="1"/>
  <c r="Y19" i="2"/>
  <c r="AA19" i="2" s="1"/>
  <c r="Y18" i="2"/>
  <c r="Y17" i="2"/>
  <c r="AA17" i="2" s="1"/>
  <c r="Y16" i="2"/>
  <c r="AA16" i="2" s="1"/>
  <c r="Y12" i="2"/>
  <c r="AA12" i="2" s="1"/>
  <c r="Y13" i="2"/>
  <c r="Y14" i="2"/>
  <c r="Y15" i="2"/>
  <c r="AA15" i="2" s="1"/>
  <c r="Y11" i="2"/>
  <c r="AA11" i="2" s="1"/>
  <c r="Z6" i="2"/>
  <c r="Z7" i="2"/>
  <c r="AA7" i="2" s="1"/>
  <c r="Z8" i="2"/>
  <c r="AA8" i="2" s="1"/>
  <c r="Z9" i="2"/>
  <c r="Z10" i="2"/>
  <c r="Z5" i="2"/>
  <c r="AA5" i="2" s="1"/>
  <c r="Y3" i="2"/>
  <c r="AA3" i="2" s="1"/>
  <c r="Y4" i="2"/>
  <c r="AA4" i="2" s="1"/>
  <c r="Y2" i="2"/>
  <c r="AA2" i="2" s="1"/>
</calcChain>
</file>

<file path=xl/sharedStrings.xml><?xml version="1.0" encoding="utf-8"?>
<sst xmlns="http://schemas.openxmlformats.org/spreadsheetml/2006/main" count="744" uniqueCount="277">
  <si>
    <t>MFG_FIRM_FEI_NUM</t>
  </si>
  <si>
    <t>LGL_NAME</t>
  </si>
  <si>
    <t>LINE1_ADRS</t>
  </si>
  <si>
    <t>LINE2_ADRS</t>
  </si>
  <si>
    <t>CITY_NAME</t>
  </si>
  <si>
    <t>PROVINCE_STATE</t>
  </si>
  <si>
    <t>ISO_CNTRY_CODE</t>
  </si>
  <si>
    <t>PRODUCT_CODE</t>
  </si>
  <si>
    <t>REFUSAL_DATE</t>
  </si>
  <si>
    <t>DISTRICT</t>
  </si>
  <si>
    <t>ENTRY_NUM</t>
  </si>
  <si>
    <t>RFRNC_DOC_ID</t>
  </si>
  <si>
    <t>LINE_NUM</t>
  </si>
  <si>
    <t>LINE_SFX_ID</t>
  </si>
  <si>
    <t>FDA_SAMPLE_ANALYSIS</t>
  </si>
  <si>
    <t>PRIVATE_LAB_ANALYSIS</t>
  </si>
  <si>
    <t>REFUSAL_CHARGES</t>
  </si>
  <si>
    <t>PRDCT_CODE_DESC_TEXT</t>
  </si>
  <si>
    <t>DSEI</t>
  </si>
  <si>
    <t>No</t>
  </si>
  <si>
    <t>NYK-DO</t>
  </si>
  <si>
    <t>DNEI</t>
  </si>
  <si>
    <t>Yes</t>
  </si>
  <si>
    <t>Jiangsu</t>
  </si>
  <si>
    <t>CN</t>
  </si>
  <si>
    <t>SWI-DO</t>
  </si>
  <si>
    <t>LOS-DO</t>
  </si>
  <si>
    <t>FLA-DO</t>
  </si>
  <si>
    <t>CIN-DO</t>
  </si>
  <si>
    <t>VN</t>
  </si>
  <si>
    <t>Changyang Qingjiang Pengbo Development</t>
  </si>
  <si>
    <t>No 168 Changyang Ave</t>
  </si>
  <si>
    <t>Changyang City</t>
  </si>
  <si>
    <t>16XVT02</t>
  </si>
  <si>
    <t>002-8148986-4</t>
  </si>
  <si>
    <t>CATFISH, AQUACULTURE, FRESH WATER</t>
  </si>
  <si>
    <t>002-8148987-2</t>
  </si>
  <si>
    <t>002-8149270-2</t>
  </si>
  <si>
    <t>DNBI</t>
  </si>
  <si>
    <t>ATL-DO</t>
  </si>
  <si>
    <t>NWE-DO</t>
  </si>
  <si>
    <t>A</t>
  </si>
  <si>
    <t>B</t>
  </si>
  <si>
    <t>H</t>
  </si>
  <si>
    <t>DET-DO</t>
  </si>
  <si>
    <t>Lagos</t>
  </si>
  <si>
    <t>NG</t>
  </si>
  <si>
    <t>Hubei</t>
  </si>
  <si>
    <t>83, 62</t>
  </si>
  <si>
    <t>Hefei</t>
  </si>
  <si>
    <t>Xiantao</t>
  </si>
  <si>
    <t>BD</t>
  </si>
  <si>
    <t>BLT-DO</t>
  </si>
  <si>
    <t>Jiangsu HaiTian Sea-Beach Aquatic Foods Co., Ltd.</t>
  </si>
  <si>
    <t>Qianjinlu</t>
  </si>
  <si>
    <t>Dongtaichina.</t>
  </si>
  <si>
    <t>Yancheng</t>
  </si>
  <si>
    <t>16XGT02</t>
  </si>
  <si>
    <t>023-0256396-6</t>
  </si>
  <si>
    <t>238, 2860</t>
  </si>
  <si>
    <t>Hubei Shengli Aquatic Foodstuff Co.,Ltd</t>
  </si>
  <si>
    <t>No 1 Xuetian Rode</t>
  </si>
  <si>
    <t>Miancheng Town</t>
  </si>
  <si>
    <t>023-0257843-6</t>
  </si>
  <si>
    <t>023-0257844-4</t>
  </si>
  <si>
    <t>023-0257860-0</t>
  </si>
  <si>
    <t>023-0257885-7</t>
  </si>
  <si>
    <t>023-0257940-0</t>
  </si>
  <si>
    <t>Hubei Zhenghe Food</t>
  </si>
  <si>
    <t>1 St. Road</t>
  </si>
  <si>
    <t>16XGD02</t>
  </si>
  <si>
    <t>038-0635381-3</t>
  </si>
  <si>
    <t>038-0635392-0</t>
  </si>
  <si>
    <t>038-0635431-6</t>
  </si>
  <si>
    <t>Wuhan Coland Aquatic Products and Food Co., Ltd.</t>
  </si>
  <si>
    <t>Industry Zone</t>
  </si>
  <si>
    <t>Wangjijiedao; Xinzhouqu</t>
  </si>
  <si>
    <t>Wuyi City</t>
  </si>
  <si>
    <t>Hubeisheng</t>
  </si>
  <si>
    <t>038-0638633-4</t>
  </si>
  <si>
    <t>Tan Thanh Loi Frozen Food Co., Ltd.</t>
  </si>
  <si>
    <t>546/1 Binh Cang 1 Small Village</t>
  </si>
  <si>
    <t>Binh Thanh Village, Thu Thua District</t>
  </si>
  <si>
    <t>Long An</t>
  </si>
  <si>
    <t>16AGD10</t>
  </si>
  <si>
    <t>082-0341752-5</t>
  </si>
  <si>
    <t>CATFISH, FRESHWATER (E.G. CHANNEL, BLUE, WHITE, YAQUI, BULLHEAD, FLATHEAD CATFISH)</t>
  </si>
  <si>
    <t>082-0342008-1</t>
  </si>
  <si>
    <t>082-0342009-9</t>
  </si>
  <si>
    <t>HERRING</t>
  </si>
  <si>
    <t>Unit</t>
  </si>
  <si>
    <t>NOL-DO</t>
  </si>
  <si>
    <t>Fuhuang Industrial Park</t>
  </si>
  <si>
    <t>Chaohu</t>
  </si>
  <si>
    <t>101-4697522-2</t>
  </si>
  <si>
    <t>Accra</t>
  </si>
  <si>
    <t>GH</t>
  </si>
  <si>
    <t>GH-AA</t>
  </si>
  <si>
    <t>2860, 2860</t>
  </si>
  <si>
    <t>2860, 238</t>
  </si>
  <si>
    <t>280, 2860</t>
  </si>
  <si>
    <t>Anhui</t>
  </si>
  <si>
    <t>UA</t>
  </si>
  <si>
    <t>GT</t>
  </si>
  <si>
    <t>Dhaka</t>
  </si>
  <si>
    <t>316-1933423-3</t>
  </si>
  <si>
    <t>Yichang</t>
  </si>
  <si>
    <t>Guatemala</t>
  </si>
  <si>
    <t>JIANGSU BAOLONG GROUP CO LTD</t>
  </si>
  <si>
    <t>No. 66 Chuangxin Road Doulong Yuye</t>
  </si>
  <si>
    <t>Sanlong Town Jiangsu</t>
  </si>
  <si>
    <t>16AVD10</t>
  </si>
  <si>
    <t>788-0516519-5</t>
  </si>
  <si>
    <t>Freetown</t>
  </si>
  <si>
    <t>SL</t>
  </si>
  <si>
    <t>321, 328, 320, 218</t>
  </si>
  <si>
    <t>Anhui Fuhuang Chaohu Sanzhen Co. Ltd</t>
  </si>
  <si>
    <t>Huangglu Town</t>
  </si>
  <si>
    <t>Alfa Eteks</t>
  </si>
  <si>
    <t>138 Chigirinskaya St</t>
  </si>
  <si>
    <t>Cherkassy</t>
  </si>
  <si>
    <t>Niaf International Enterprises</t>
  </si>
  <si>
    <t>2/2- B 2nd Floor Bijoynagar</t>
  </si>
  <si>
    <t>Lane Purana Paltan</t>
  </si>
  <si>
    <t>16XYH02</t>
  </si>
  <si>
    <t>AEK-1289444-6</t>
  </si>
  <si>
    <t>2000, 256, 249</t>
  </si>
  <si>
    <t>AR8-2014602-5</t>
  </si>
  <si>
    <t>Alpine Commodities Ltd</t>
  </si>
  <si>
    <t>Murtala Muhammed Way</t>
  </si>
  <si>
    <t>Iddo</t>
  </si>
  <si>
    <t>16IFH67</t>
  </si>
  <si>
    <t>CATFISH, SALT WATER, HOT SMOKED, FISH</t>
  </si>
  <si>
    <t>Conakry</t>
  </si>
  <si>
    <t>GN</t>
  </si>
  <si>
    <t>BDD-0671294-3</t>
  </si>
  <si>
    <t>ANHUI LIGHT INDUSTRIES INTERNATIONAL CO.,LTD</t>
  </si>
  <si>
    <t>Alic Centre</t>
  </si>
  <si>
    <t>08 Tianda Road; Shushan</t>
  </si>
  <si>
    <t>BDD-0672978-0</t>
  </si>
  <si>
    <t>2960, 2860</t>
  </si>
  <si>
    <t>NASEM PRODUCT LTD</t>
  </si>
  <si>
    <t>Muus H/No.185/T Taifa Junction Nsawam Rd</t>
  </si>
  <si>
    <t>16AGH10</t>
  </si>
  <si>
    <t>BNI-0039335-3</t>
  </si>
  <si>
    <t>Chams Nig Ltd</t>
  </si>
  <si>
    <t>33 Akekele Rd</t>
  </si>
  <si>
    <t>16IFT67</t>
  </si>
  <si>
    <t>BNI-0045857-8</t>
  </si>
  <si>
    <t>CHRISTIAN AMEYAW</t>
  </si>
  <si>
    <t>happy kids avenue hse no BA536/20</t>
  </si>
  <si>
    <t>Kwashinaiyiri</t>
  </si>
  <si>
    <t>16IFT10</t>
  </si>
  <si>
    <t>BNI-0046414-7</t>
  </si>
  <si>
    <t>CATFISH, FRESHWATER, HOT SMOKED (E.G. CHANNEL, BLUE, WHITE, YAQUI, BULLHEAD, FLATHEAD CATFISH)</t>
  </si>
  <si>
    <t>Anointed Foods Ltd</t>
  </si>
  <si>
    <t>C28 Cantome</t>
  </si>
  <si>
    <t>BNI-0048811-2</t>
  </si>
  <si>
    <t>Abednego Ziorklui</t>
  </si>
  <si>
    <t>7 Kwabeyna Link Str Kotobabi</t>
  </si>
  <si>
    <t>BNI-0050663-2</t>
  </si>
  <si>
    <t>16AEE10</t>
  </si>
  <si>
    <t>BQL-0045751-3</t>
  </si>
  <si>
    <t>CEQ-0001510-5</t>
  </si>
  <si>
    <t>Changyang Qingiang Pengbo</t>
  </si>
  <si>
    <t>NO. 168 Changyang Avenue</t>
  </si>
  <si>
    <t>DK3-0756640-8</t>
  </si>
  <si>
    <t>DK3-0756642-4</t>
  </si>
  <si>
    <t>DK3-0756643-2</t>
  </si>
  <si>
    <t>DK3-0756644-0</t>
  </si>
  <si>
    <t>DK3-0756645-7</t>
  </si>
  <si>
    <t>16AGT10</t>
  </si>
  <si>
    <t>GX5-9935693-6</t>
  </si>
  <si>
    <t>GX5-9936580-4</t>
  </si>
  <si>
    <t>GX5-9936633-1</t>
  </si>
  <si>
    <t>GX5-9936998-8</t>
  </si>
  <si>
    <t>Sory Lamine Kaba</t>
  </si>
  <si>
    <t>Dixie Center</t>
  </si>
  <si>
    <t>16AFH67</t>
  </si>
  <si>
    <t>G17-1059416-0</t>
  </si>
  <si>
    <t>CATFISH, SALT WATER</t>
  </si>
  <si>
    <t>GX5-9937144-8</t>
  </si>
  <si>
    <t>GX5-9937805-4</t>
  </si>
  <si>
    <t>G40-0250743-7</t>
  </si>
  <si>
    <t>CHRISAMOS &amp; ASSOCIATES</t>
  </si>
  <si>
    <t>Ifelodun Community, Lagos State Housing</t>
  </si>
  <si>
    <t>Scheme, Osin</t>
  </si>
  <si>
    <t>Ayobo</t>
  </si>
  <si>
    <t>16AGH67</t>
  </si>
  <si>
    <t>K74-0179795-9</t>
  </si>
  <si>
    <t>Iye Kamara</t>
  </si>
  <si>
    <t>65 Sunday Stcalaba Town</t>
  </si>
  <si>
    <t>16IFN67</t>
  </si>
  <si>
    <t>KX2-0064983-1</t>
  </si>
  <si>
    <t>2960, 328, 321, 320, 218</t>
  </si>
  <si>
    <t>ROD-0027286-8</t>
  </si>
  <si>
    <t>WNU-0150017-1</t>
  </si>
  <si>
    <t>WNU-0160020-3</t>
  </si>
  <si>
    <t>WK9-0086610-4</t>
  </si>
  <si>
    <t>Chanin Exports</t>
  </si>
  <si>
    <t>31 Ave A 14-80 Zona 7</t>
  </si>
  <si>
    <t>WYQ-2031229-3</t>
  </si>
  <si>
    <t>ITACS_Product</t>
  </si>
  <si>
    <t>ITACS_Quantity</t>
  </si>
  <si>
    <t>Total: 2939.0 Carton (2939.0 Carton, 12.0 Package, 1.0 Pounds (avdp))</t>
  </si>
  <si>
    <t>FRZN CATFISH FILLETS</t>
  </si>
  <si>
    <t>Total: 2969.0 Carton (2969.0 Carton, 12.0 Package, 1.0 Pounds (avdp))</t>
  </si>
  <si>
    <t>Total: 2970.0 Carton (2970.0 Carton, 12.0 Package, 1.0 Pounds (avdp))</t>
  </si>
  <si>
    <t>Total: 3000.0 Carton (3000.0 Carton, 6.8 Kilograms)</t>
  </si>
  <si>
    <t>FROZEN CATFISH FILLETS FARM RAISED</t>
  </si>
  <si>
    <t>Total: 2933.0 Carton (2933.0 Carton, 6.8 Kilograms)</t>
  </si>
  <si>
    <t>FRZ IQF CATFISH FILLETS BONELESS SKINLES SZ 3-5OZ</t>
  </si>
  <si>
    <t>Total: 2700.0 Case (2700.0 Case, 1.0 Bag, 15.0 Pounds (avdp))</t>
  </si>
  <si>
    <t>FRZ IQF CATFISH FILLETS SKINLESS BONLESS</t>
  </si>
  <si>
    <t>Total: 2084.0 Case (2084.0 Case, 1.0 Bag, 15.0 Pounds (avdp))</t>
  </si>
  <si>
    <t>Total: 616.0 Case (616.0 Case, 1.0 Bag, 15.0 Pounds (avdp))</t>
  </si>
  <si>
    <t>Total: 2865.0 Case (2865.0 Case, 1.0 Bag, 15.0 Pounds (avdp))</t>
  </si>
  <si>
    <t>Total: 33.0 Carton (33.0 Carton, 40.0 Pounds (avdp))</t>
  </si>
  <si>
    <t>FROZEN BULL HEAD FISH</t>
  </si>
  <si>
    <t>Total: 100.0 Carton (100.0 Carton, 20.0 Bag, 2.0 Pounds (avdp))</t>
  </si>
  <si>
    <t>FRZ HL BULL HEAD FISH</t>
  </si>
  <si>
    <t>Total: 160.0 Carton (160.0 Carton, 40.0 Pounds (avdp))</t>
  </si>
  <si>
    <t>FRZ RAW HL BULL HEAD FISH</t>
  </si>
  <si>
    <t>FROZEN IQF CHANNEL CATFISH FILLETS SIZE 3-5</t>
  </si>
  <si>
    <t>Total: 2.0 Kilograms (2.0 Kilograms)</t>
  </si>
  <si>
    <t>CTNS OF FROZEN CATFISH FILLETS</t>
  </si>
  <si>
    <t>Total: 1.0 Carton (1.0 Carton, 1.0 Pounds (avdp))</t>
  </si>
  <si>
    <t>FROZEN CATFISH FILLETS</t>
  </si>
  <si>
    <t>DRIED SEAFOOD</t>
  </si>
  <si>
    <t>Total: 23.0 Kilograms (23.0 Kilograms)</t>
  </si>
  <si>
    <t>Total: 1.0 Carton (1.0 Carton, 15.0 Pounds (avdp))</t>
  </si>
  <si>
    <t>Dried Fish Catfish</t>
  </si>
  <si>
    <t>Total: 3000.0 Carton (3000.0 Carton, 15.0 Pounds (avdp))</t>
  </si>
  <si>
    <t>IQF FARM RAISED CATFISH FILLETS</t>
  </si>
  <si>
    <t>Total: 2690.0 Carton (2690.0 Carton, 15.0 Pounds (avdp))</t>
  </si>
  <si>
    <t>FROZEN CATFISH FILLET, CHANNEL CATFISH (ICTALURUS PUNCTATUS) 3-5OZ</t>
  </si>
  <si>
    <t>Total: 46.0 Case (46.0 Case, 10.0 Kilograms)</t>
  </si>
  <si>
    <t>SMOKED FISH</t>
  </si>
  <si>
    <t>Total: 70.0 Case (70.0 Case, 12.0 Kilograms)</t>
  </si>
  <si>
    <t>Smoked Herring</t>
  </si>
  <si>
    <t>Smoked Akwabi</t>
  </si>
  <si>
    <t>Total: 24.0 Kilograms (2.0 Box, 12.0 Kilograms)</t>
  </si>
  <si>
    <t>Total: 120.0 Kilograms (10.0 Box, 12.0 Kilograms)</t>
  </si>
  <si>
    <t>Total: 19.0 Box (19.0 Box, 50.0 Pounds (avdp))</t>
  </si>
  <si>
    <t>SMOKED CATFISH</t>
  </si>
  <si>
    <t>Total: 112.0 Carton (112.0 Carton, 48.0 Package, 240.0 Grams)</t>
  </si>
  <si>
    <t>BULLHEAD IN TOMATO SAUCE</t>
  </si>
  <si>
    <t>Total: 1160.0 Case (1160.0 Case, 15.0 Pounds (avdp))</t>
  </si>
  <si>
    <t>CHANNEL CATFISH FILLET, FROZEN 5/7OZ</t>
  </si>
  <si>
    <t>Total: 2400.0 Case (2400.0 Case, 36000.0 Pounds (avdp))</t>
  </si>
  <si>
    <t>Total: 1666.0 Carton (1666.0 Carton, 24.0 Pounds (avdp))</t>
  </si>
  <si>
    <t>FROZEN CHANNEL CATFISH FILLETS</t>
  </si>
  <si>
    <t>FROZEN CATFISH WHOLE DRESSED SPLIT SIZE 5-9</t>
  </si>
  <si>
    <t>Total: 2999.0 Carton (2999.0 Carton, 15.0 Pounds (avdp))</t>
  </si>
  <si>
    <t>FROZEN IQF CHANNEL CATFISH FILLETS SIZE 3/5 OZ</t>
  </si>
  <si>
    <t>FROZEN IQF CHANNEL CATFISH FILLETS SIZE 5/7 OZ</t>
  </si>
  <si>
    <t>Total: 127.6 Pounds (avdp) (127.6 Pounds (avdp))</t>
  </si>
  <si>
    <t>IQF CHANNEL CATFISH FILLETS SIZE 5/7</t>
  </si>
  <si>
    <t>FROZEN CATFISH FILLETS IQF</t>
  </si>
  <si>
    <t>FROZEN CHANNEL CATFISH FILLET, FARM RAISED, SIZE 3-5 OZ</t>
  </si>
  <si>
    <t>Total: 1.0 Container (1.0 Container, 35.0 Carton, 28.0 Kilograms)</t>
  </si>
  <si>
    <t>DRIED FISH (CATFISH)</t>
  </si>
  <si>
    <t>Total: 84.0 Pounds (avdp) (84.0 Pounds (avdp))</t>
  </si>
  <si>
    <t>CATFISH</t>
  </si>
  <si>
    <t>Total: 1296.0 Carton (1296.0 Carton, 12.0 Package, 2.5 Pounds (avdp))</t>
  </si>
  <si>
    <t>FROZEN CHANNEL CATFISH FILLETS, SKINLESS BONELESS, SIZE 2/7OZ</t>
  </si>
  <si>
    <t>Total: 2510.0 Box (2510.0 Box, 6.8 Kilograms)</t>
  </si>
  <si>
    <t>FROZEN CATFISH FILLET</t>
  </si>
  <si>
    <t>Total: 2650.0 Box (2650.0 Box, 6.8 Kilograms)</t>
  </si>
  <si>
    <t>Total: 95.0 Kilograms (95.0 Kilograms)</t>
  </si>
  <si>
    <t>SALTED DRIED CATFISH</t>
  </si>
  <si>
    <t>Subunit</t>
  </si>
  <si>
    <t>Total_LB</t>
  </si>
  <si>
    <t>Per_LB</t>
  </si>
  <si>
    <t>Per_KG</t>
  </si>
  <si>
    <t>Total_KG</t>
  </si>
  <si>
    <t>Weight_Refused_KG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</si>
</sst>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0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Font="1" applyBorder="1"/>
    <xf numFmtId="0" fontId="18" fillId="0" borderId="0" xfId="0" applyFont="1" applyBorder="1"/>
    <xf numFmtId="0" fontId="0" fillId="0" borderId="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"/>
  <sheetViews>
    <sheetView tabSelected="1" workbookViewId="0">
      <pane xSplit="11" ySplit="1" topLeftCell="S2" activePane="bottomRight" state="frozen"/>
      <selection pane="topRight" activeCell="L1" sqref="L1"/>
      <selection pane="bottomLeft" activeCell="A2" sqref="A2"/>
      <selection pane="bottomRight" activeCell="T15" sqref="T15"/>
    </sheetView>
  </sheetViews>
  <sheetFormatPr defaultRowHeight="15" x14ac:dyDescent="0.25"/>
  <cols>
    <col min="11" max="11" width="15.140625" bestFit="1" customWidth="1"/>
    <col min="18" max="18" width="97.140625" bestFit="1" customWidth="1"/>
    <col min="19" max="19" width="68.5703125" style="5" bestFit="1" customWidth="1"/>
    <col min="20" max="20" width="62.5703125" style="2" bestFit="1" customWidth="1"/>
    <col min="25" max="26" width="9.140625" style="4"/>
    <col min="27" max="27" width="19.42578125" style="4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202</v>
      </c>
      <c r="T1" s="2" t="s">
        <v>203</v>
      </c>
      <c r="U1" s="2" t="s">
        <v>90</v>
      </c>
      <c r="V1" s="2" t="s">
        <v>271</v>
      </c>
      <c r="W1" s="2" t="s">
        <v>273</v>
      </c>
      <c r="X1" s="2" t="s">
        <v>274</v>
      </c>
      <c r="Y1" s="4" t="s">
        <v>272</v>
      </c>
      <c r="Z1" s="4" t="s">
        <v>275</v>
      </c>
      <c r="AA1" s="4" t="s">
        <v>276</v>
      </c>
    </row>
    <row r="2" spans="1:27" x14ac:dyDescent="0.25">
      <c r="A2">
        <v>3010700818</v>
      </c>
      <c r="B2" t="s">
        <v>30</v>
      </c>
      <c r="C2" t="s">
        <v>31</v>
      </c>
      <c r="E2" t="s">
        <v>32</v>
      </c>
      <c r="G2" t="s">
        <v>24</v>
      </c>
      <c r="H2" t="s">
        <v>33</v>
      </c>
      <c r="I2" s="1">
        <v>41764</v>
      </c>
      <c r="J2" t="s">
        <v>27</v>
      </c>
      <c r="K2" t="s">
        <v>34</v>
      </c>
      <c r="L2">
        <v>1</v>
      </c>
      <c r="M2">
        <v>1</v>
      </c>
      <c r="O2" t="s">
        <v>19</v>
      </c>
      <c r="P2" t="s">
        <v>22</v>
      </c>
      <c r="Q2">
        <v>2860</v>
      </c>
      <c r="R2" t="s">
        <v>35</v>
      </c>
      <c r="S2" s="6" t="s">
        <v>205</v>
      </c>
      <c r="T2" s="3" t="s">
        <v>204</v>
      </c>
      <c r="U2">
        <v>2939</v>
      </c>
      <c r="V2">
        <v>12</v>
      </c>
      <c r="W2">
        <v>1</v>
      </c>
      <c r="Y2" s="4">
        <f>U2*V2*W2</f>
        <v>35268</v>
      </c>
      <c r="AA2" s="4">
        <f>IF(Z2="",ROUND(Y2/2.205,0),ROUND(Z2,0))</f>
        <v>15995</v>
      </c>
    </row>
    <row r="3" spans="1:27" x14ac:dyDescent="0.25">
      <c r="A3">
        <v>3010700818</v>
      </c>
      <c r="B3" t="s">
        <v>30</v>
      </c>
      <c r="C3" t="s">
        <v>31</v>
      </c>
      <c r="E3" t="s">
        <v>32</v>
      </c>
      <c r="G3" t="s">
        <v>24</v>
      </c>
      <c r="H3" t="s">
        <v>33</v>
      </c>
      <c r="I3" s="1">
        <v>41759</v>
      </c>
      <c r="J3" t="s">
        <v>27</v>
      </c>
      <c r="K3" t="s">
        <v>36</v>
      </c>
      <c r="L3">
        <v>1</v>
      </c>
      <c r="M3">
        <v>1</v>
      </c>
      <c r="O3" t="s">
        <v>19</v>
      </c>
      <c r="P3" t="s">
        <v>22</v>
      </c>
      <c r="Q3">
        <v>2860</v>
      </c>
      <c r="R3" t="s">
        <v>35</v>
      </c>
      <c r="S3" s="6" t="s">
        <v>205</v>
      </c>
      <c r="T3" s="3" t="s">
        <v>206</v>
      </c>
      <c r="U3">
        <v>2969</v>
      </c>
      <c r="V3">
        <v>12</v>
      </c>
      <c r="W3">
        <v>1</v>
      </c>
      <c r="Y3" s="4">
        <f t="shared" ref="Y3:Y4" si="0">U3*V3*W3</f>
        <v>35628</v>
      </c>
      <c r="AA3" s="4">
        <f t="shared" ref="AA3:AA26" si="1">IF(Z3="",ROUND(Y3/2.205,0),ROUND(Z3,0))</f>
        <v>16158</v>
      </c>
    </row>
    <row r="4" spans="1:27" x14ac:dyDescent="0.25">
      <c r="A4">
        <v>3010700818</v>
      </c>
      <c r="B4" t="s">
        <v>30</v>
      </c>
      <c r="C4" t="s">
        <v>31</v>
      </c>
      <c r="E4" t="s">
        <v>32</v>
      </c>
      <c r="G4" t="s">
        <v>24</v>
      </c>
      <c r="H4" t="s">
        <v>33</v>
      </c>
      <c r="I4" s="1">
        <v>41781</v>
      </c>
      <c r="J4" t="s">
        <v>27</v>
      </c>
      <c r="K4" t="s">
        <v>37</v>
      </c>
      <c r="L4">
        <v>1</v>
      </c>
      <c r="M4">
        <v>1</v>
      </c>
      <c r="O4" t="s">
        <v>19</v>
      </c>
      <c r="P4" t="s">
        <v>22</v>
      </c>
      <c r="Q4">
        <v>2860</v>
      </c>
      <c r="R4" t="s">
        <v>35</v>
      </c>
      <c r="S4" s="6" t="s">
        <v>205</v>
      </c>
      <c r="T4" s="3" t="s">
        <v>207</v>
      </c>
      <c r="U4">
        <v>2970</v>
      </c>
      <c r="V4">
        <v>12</v>
      </c>
      <c r="W4">
        <v>1</v>
      </c>
      <c r="Y4" s="4">
        <f t="shared" si="0"/>
        <v>35640</v>
      </c>
      <c r="AA4" s="4">
        <f t="shared" si="1"/>
        <v>16163</v>
      </c>
    </row>
    <row r="5" spans="1:27" x14ac:dyDescent="0.25">
      <c r="A5">
        <v>3006454956</v>
      </c>
      <c r="B5" t="s">
        <v>53</v>
      </c>
      <c r="C5" t="s">
        <v>54</v>
      </c>
      <c r="D5" t="s">
        <v>55</v>
      </c>
      <c r="E5" t="s">
        <v>56</v>
      </c>
      <c r="F5" t="s">
        <v>23</v>
      </c>
      <c r="G5" t="s">
        <v>24</v>
      </c>
      <c r="H5" t="s">
        <v>57</v>
      </c>
      <c r="I5" s="1">
        <v>42019</v>
      </c>
      <c r="J5" t="s">
        <v>52</v>
      </c>
      <c r="K5" t="s">
        <v>58</v>
      </c>
      <c r="L5">
        <v>1</v>
      </c>
      <c r="M5">
        <v>1</v>
      </c>
      <c r="O5" t="s">
        <v>19</v>
      </c>
      <c r="P5" t="s">
        <v>19</v>
      </c>
      <c r="Q5" t="s">
        <v>59</v>
      </c>
      <c r="R5" t="s">
        <v>35</v>
      </c>
      <c r="S5" s="6" t="s">
        <v>209</v>
      </c>
      <c r="T5" s="3" t="s">
        <v>208</v>
      </c>
      <c r="U5">
        <v>3000</v>
      </c>
      <c r="X5">
        <v>6.8</v>
      </c>
      <c r="Z5" s="4">
        <f>U5*X5</f>
        <v>20400</v>
      </c>
      <c r="AA5" s="4">
        <f t="shared" si="1"/>
        <v>20400</v>
      </c>
    </row>
    <row r="6" spans="1:27" x14ac:dyDescent="0.25">
      <c r="A6">
        <v>3011257538</v>
      </c>
      <c r="B6" t="s">
        <v>60</v>
      </c>
      <c r="C6" t="s">
        <v>61</v>
      </c>
      <c r="D6" t="s">
        <v>62</v>
      </c>
      <c r="E6" t="s">
        <v>50</v>
      </c>
      <c r="F6" t="s">
        <v>47</v>
      </c>
      <c r="G6" t="s">
        <v>24</v>
      </c>
      <c r="H6" t="s">
        <v>57</v>
      </c>
      <c r="I6" s="1">
        <v>42430</v>
      </c>
      <c r="J6" t="s">
        <v>52</v>
      </c>
      <c r="K6" t="s">
        <v>63</v>
      </c>
      <c r="L6">
        <v>1</v>
      </c>
      <c r="M6">
        <v>1</v>
      </c>
      <c r="O6" t="s">
        <v>19</v>
      </c>
      <c r="P6" t="s">
        <v>19</v>
      </c>
      <c r="Q6" t="s">
        <v>59</v>
      </c>
      <c r="R6" t="s">
        <v>35</v>
      </c>
      <c r="S6" s="6" t="s">
        <v>209</v>
      </c>
      <c r="T6" s="3" t="s">
        <v>210</v>
      </c>
      <c r="U6">
        <v>2933</v>
      </c>
      <c r="X6">
        <v>6.8</v>
      </c>
      <c r="Z6" s="4">
        <f t="shared" ref="Z6:Z10" si="2">U6*X6</f>
        <v>19944.399999999998</v>
      </c>
      <c r="AA6" s="4">
        <f t="shared" si="1"/>
        <v>19944</v>
      </c>
    </row>
    <row r="7" spans="1:27" x14ac:dyDescent="0.25">
      <c r="A7">
        <v>3011257538</v>
      </c>
      <c r="B7" t="s">
        <v>60</v>
      </c>
      <c r="C7" t="s">
        <v>61</v>
      </c>
      <c r="D7" t="s">
        <v>62</v>
      </c>
      <c r="E7" t="s">
        <v>50</v>
      </c>
      <c r="F7" t="s">
        <v>47</v>
      </c>
      <c r="G7" t="s">
        <v>24</v>
      </c>
      <c r="H7" t="s">
        <v>57</v>
      </c>
      <c r="I7" s="1">
        <v>42430</v>
      </c>
      <c r="J7" t="s">
        <v>52</v>
      </c>
      <c r="K7" t="s">
        <v>64</v>
      </c>
      <c r="L7">
        <v>1</v>
      </c>
      <c r="M7">
        <v>1</v>
      </c>
      <c r="O7" t="s">
        <v>19</v>
      </c>
      <c r="P7" t="s">
        <v>19</v>
      </c>
      <c r="Q7" t="s">
        <v>59</v>
      </c>
      <c r="R7" t="s">
        <v>35</v>
      </c>
      <c r="S7" s="6" t="s">
        <v>209</v>
      </c>
      <c r="T7" s="3" t="s">
        <v>210</v>
      </c>
      <c r="U7">
        <v>2933</v>
      </c>
      <c r="X7">
        <v>6.8</v>
      </c>
      <c r="Z7" s="4">
        <f t="shared" si="2"/>
        <v>19944.399999999998</v>
      </c>
      <c r="AA7" s="4">
        <f t="shared" si="1"/>
        <v>19944</v>
      </c>
    </row>
    <row r="8" spans="1:27" x14ac:dyDescent="0.25">
      <c r="A8">
        <v>3011257538</v>
      </c>
      <c r="B8" t="s">
        <v>60</v>
      </c>
      <c r="C8" t="s">
        <v>61</v>
      </c>
      <c r="D8" t="s">
        <v>62</v>
      </c>
      <c r="E8" t="s">
        <v>50</v>
      </c>
      <c r="F8" t="s">
        <v>47</v>
      </c>
      <c r="G8" t="s">
        <v>24</v>
      </c>
      <c r="H8" t="s">
        <v>57</v>
      </c>
      <c r="I8" s="1">
        <v>42430</v>
      </c>
      <c r="J8" t="s">
        <v>52</v>
      </c>
      <c r="K8" t="s">
        <v>65</v>
      </c>
      <c r="L8">
        <v>1</v>
      </c>
      <c r="M8">
        <v>1</v>
      </c>
      <c r="O8" t="s">
        <v>19</v>
      </c>
      <c r="P8" t="s">
        <v>19</v>
      </c>
      <c r="Q8" t="s">
        <v>59</v>
      </c>
      <c r="R8" t="s">
        <v>35</v>
      </c>
      <c r="S8" s="6" t="s">
        <v>209</v>
      </c>
      <c r="T8" s="3" t="s">
        <v>210</v>
      </c>
      <c r="U8">
        <v>2933</v>
      </c>
      <c r="X8">
        <v>6.8</v>
      </c>
      <c r="Z8" s="4">
        <f t="shared" si="2"/>
        <v>19944.399999999998</v>
      </c>
      <c r="AA8" s="4">
        <f t="shared" si="1"/>
        <v>19944</v>
      </c>
    </row>
    <row r="9" spans="1:27" x14ac:dyDescent="0.25">
      <c r="A9">
        <v>3011257538</v>
      </c>
      <c r="B9" t="s">
        <v>60</v>
      </c>
      <c r="C9" t="s">
        <v>61</v>
      </c>
      <c r="D9" t="s">
        <v>62</v>
      </c>
      <c r="E9" t="s">
        <v>50</v>
      </c>
      <c r="F9" t="s">
        <v>47</v>
      </c>
      <c r="G9" t="s">
        <v>24</v>
      </c>
      <c r="H9" t="s">
        <v>57</v>
      </c>
      <c r="I9" s="1">
        <v>42438</v>
      </c>
      <c r="J9" t="s">
        <v>52</v>
      </c>
      <c r="K9" t="s">
        <v>66</v>
      </c>
      <c r="L9">
        <v>1</v>
      </c>
      <c r="M9">
        <v>1</v>
      </c>
      <c r="O9" t="s">
        <v>19</v>
      </c>
      <c r="P9" t="s">
        <v>19</v>
      </c>
      <c r="Q9" t="s">
        <v>59</v>
      </c>
      <c r="R9" t="s">
        <v>35</v>
      </c>
      <c r="S9" s="6" t="s">
        <v>209</v>
      </c>
      <c r="T9" s="3" t="s">
        <v>210</v>
      </c>
      <c r="U9">
        <v>2933</v>
      </c>
      <c r="X9">
        <v>6.8</v>
      </c>
      <c r="Z9" s="4">
        <f t="shared" si="2"/>
        <v>19944.399999999998</v>
      </c>
      <c r="AA9" s="4">
        <f t="shared" si="1"/>
        <v>19944</v>
      </c>
    </row>
    <row r="10" spans="1:27" x14ac:dyDescent="0.25">
      <c r="A10">
        <v>3011257538</v>
      </c>
      <c r="B10" t="s">
        <v>60</v>
      </c>
      <c r="C10" t="s">
        <v>61</v>
      </c>
      <c r="D10" t="s">
        <v>62</v>
      </c>
      <c r="E10" t="s">
        <v>50</v>
      </c>
      <c r="F10" t="s">
        <v>47</v>
      </c>
      <c r="G10" t="s">
        <v>24</v>
      </c>
      <c r="H10" t="s">
        <v>57</v>
      </c>
      <c r="I10" s="1">
        <v>42438</v>
      </c>
      <c r="J10" t="s">
        <v>52</v>
      </c>
      <c r="K10" t="s">
        <v>67</v>
      </c>
      <c r="L10">
        <v>1</v>
      </c>
      <c r="M10">
        <v>1</v>
      </c>
      <c r="O10" t="s">
        <v>19</v>
      </c>
      <c r="P10" t="s">
        <v>19</v>
      </c>
      <c r="Q10" t="s">
        <v>59</v>
      </c>
      <c r="R10" t="s">
        <v>35</v>
      </c>
      <c r="S10" s="6" t="s">
        <v>209</v>
      </c>
      <c r="T10" s="3" t="s">
        <v>210</v>
      </c>
      <c r="U10">
        <v>2933</v>
      </c>
      <c r="X10">
        <v>6.8</v>
      </c>
      <c r="Z10" s="4">
        <f t="shared" si="2"/>
        <v>19944.399999999998</v>
      </c>
      <c r="AA10" s="4">
        <f t="shared" si="1"/>
        <v>19944</v>
      </c>
    </row>
    <row r="11" spans="1:27" x14ac:dyDescent="0.25">
      <c r="A11">
        <v>3008047023</v>
      </c>
      <c r="B11" t="s">
        <v>68</v>
      </c>
      <c r="C11" t="s">
        <v>69</v>
      </c>
      <c r="E11" t="s">
        <v>47</v>
      </c>
      <c r="G11" t="s">
        <v>24</v>
      </c>
      <c r="H11" t="s">
        <v>70</v>
      </c>
      <c r="I11" s="1">
        <v>41789</v>
      </c>
      <c r="J11" t="s">
        <v>25</v>
      </c>
      <c r="K11" t="s">
        <v>71</v>
      </c>
      <c r="L11">
        <v>1</v>
      </c>
      <c r="M11">
        <v>1</v>
      </c>
      <c r="O11" t="s">
        <v>19</v>
      </c>
      <c r="P11" t="s">
        <v>22</v>
      </c>
      <c r="Q11" t="s">
        <v>59</v>
      </c>
      <c r="R11" t="s">
        <v>35</v>
      </c>
      <c r="S11" s="6" t="s">
        <v>211</v>
      </c>
      <c r="T11" s="3" t="s">
        <v>212</v>
      </c>
      <c r="U11">
        <v>2700</v>
      </c>
      <c r="V11">
        <v>1</v>
      </c>
      <c r="W11">
        <v>15</v>
      </c>
      <c r="Y11" s="4">
        <f>U11*V11*W11</f>
        <v>40500</v>
      </c>
      <c r="AA11" s="4">
        <f t="shared" si="1"/>
        <v>18367</v>
      </c>
    </row>
    <row r="12" spans="1:27" x14ac:dyDescent="0.25">
      <c r="A12">
        <v>3008047023</v>
      </c>
      <c r="B12" t="s">
        <v>68</v>
      </c>
      <c r="C12" t="s">
        <v>69</v>
      </c>
      <c r="E12" t="s">
        <v>47</v>
      </c>
      <c r="G12" t="s">
        <v>24</v>
      </c>
      <c r="H12" t="s">
        <v>70</v>
      </c>
      <c r="I12" s="1">
        <v>41778</v>
      </c>
      <c r="J12" t="s">
        <v>25</v>
      </c>
      <c r="K12" t="s">
        <v>72</v>
      </c>
      <c r="L12">
        <v>1</v>
      </c>
      <c r="M12">
        <v>1</v>
      </c>
      <c r="O12" t="s">
        <v>19</v>
      </c>
      <c r="P12" t="s">
        <v>22</v>
      </c>
      <c r="Q12" t="s">
        <v>59</v>
      </c>
      <c r="R12" t="s">
        <v>35</v>
      </c>
      <c r="S12" s="6" t="s">
        <v>213</v>
      </c>
      <c r="T12" s="3" t="s">
        <v>212</v>
      </c>
      <c r="U12">
        <v>2700</v>
      </c>
      <c r="V12">
        <v>1</v>
      </c>
      <c r="W12">
        <v>15</v>
      </c>
      <c r="Y12" s="4">
        <f t="shared" ref="Y12:Y17" si="3">U12*V12*W12</f>
        <v>40500</v>
      </c>
      <c r="AA12" s="4">
        <f t="shared" si="1"/>
        <v>18367</v>
      </c>
    </row>
    <row r="13" spans="1:27" x14ac:dyDescent="0.25">
      <c r="A13">
        <v>3008047023</v>
      </c>
      <c r="B13" t="s">
        <v>68</v>
      </c>
      <c r="C13" t="s">
        <v>69</v>
      </c>
      <c r="E13" t="s">
        <v>47</v>
      </c>
      <c r="G13" t="s">
        <v>24</v>
      </c>
      <c r="H13" t="s">
        <v>70</v>
      </c>
      <c r="I13" s="1">
        <v>41816</v>
      </c>
      <c r="J13" t="s">
        <v>25</v>
      </c>
      <c r="K13" t="s">
        <v>73</v>
      </c>
      <c r="L13">
        <v>1</v>
      </c>
      <c r="M13">
        <v>1</v>
      </c>
      <c r="O13" t="s">
        <v>19</v>
      </c>
      <c r="P13" t="s">
        <v>22</v>
      </c>
      <c r="Q13" t="s">
        <v>59</v>
      </c>
      <c r="R13" t="s">
        <v>35</v>
      </c>
      <c r="S13" s="6" t="s">
        <v>213</v>
      </c>
      <c r="T13" s="3" t="s">
        <v>214</v>
      </c>
      <c r="U13">
        <v>2084</v>
      </c>
      <c r="V13">
        <v>1</v>
      </c>
      <c r="W13">
        <v>15</v>
      </c>
      <c r="Y13" s="4">
        <f t="shared" si="3"/>
        <v>31260</v>
      </c>
      <c r="AA13" s="4">
        <f t="shared" si="1"/>
        <v>14177</v>
      </c>
    </row>
    <row r="14" spans="1:27" x14ac:dyDescent="0.25">
      <c r="A14">
        <v>3008047023</v>
      </c>
      <c r="B14" t="s">
        <v>68</v>
      </c>
      <c r="C14" t="s">
        <v>69</v>
      </c>
      <c r="E14" t="s">
        <v>47</v>
      </c>
      <c r="G14" t="s">
        <v>24</v>
      </c>
      <c r="H14" t="s">
        <v>70</v>
      </c>
      <c r="I14" s="1">
        <v>41816</v>
      </c>
      <c r="J14" t="s">
        <v>25</v>
      </c>
      <c r="K14" t="s">
        <v>73</v>
      </c>
      <c r="L14">
        <v>1</v>
      </c>
      <c r="M14">
        <v>2</v>
      </c>
      <c r="O14" t="s">
        <v>19</v>
      </c>
      <c r="P14" t="s">
        <v>22</v>
      </c>
      <c r="Q14" t="s">
        <v>59</v>
      </c>
      <c r="R14" t="s">
        <v>35</v>
      </c>
      <c r="S14" s="6" t="s">
        <v>213</v>
      </c>
      <c r="T14" s="3" t="s">
        <v>215</v>
      </c>
      <c r="U14">
        <v>616</v>
      </c>
      <c r="V14">
        <v>1</v>
      </c>
      <c r="W14">
        <v>15</v>
      </c>
      <c r="Y14" s="4">
        <f t="shared" si="3"/>
        <v>9240</v>
      </c>
      <c r="AA14" s="4">
        <f t="shared" si="1"/>
        <v>4190</v>
      </c>
    </row>
    <row r="15" spans="1:27" x14ac:dyDescent="0.25">
      <c r="A15">
        <v>3007922564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24</v>
      </c>
      <c r="H15" t="s">
        <v>70</v>
      </c>
      <c r="I15" s="1">
        <v>42166</v>
      </c>
      <c r="J15" t="s">
        <v>52</v>
      </c>
      <c r="K15" t="s">
        <v>79</v>
      </c>
      <c r="L15">
        <v>1</v>
      </c>
      <c r="M15">
        <v>1</v>
      </c>
      <c r="O15" t="s">
        <v>19</v>
      </c>
      <c r="P15" t="s">
        <v>22</v>
      </c>
      <c r="Q15" t="s">
        <v>59</v>
      </c>
      <c r="R15" t="s">
        <v>35</v>
      </c>
      <c r="S15" s="6" t="s">
        <v>213</v>
      </c>
      <c r="T15" s="3" t="s">
        <v>216</v>
      </c>
      <c r="U15">
        <v>2865</v>
      </c>
      <c r="V15">
        <v>1</v>
      </c>
      <c r="W15">
        <v>15</v>
      </c>
      <c r="Y15" s="4">
        <f t="shared" si="3"/>
        <v>42975</v>
      </c>
      <c r="AA15" s="4">
        <f t="shared" si="1"/>
        <v>19490</v>
      </c>
    </row>
    <row r="16" spans="1:27" x14ac:dyDescent="0.25">
      <c r="A16">
        <v>3010124790</v>
      </c>
      <c r="B16" t="s">
        <v>80</v>
      </c>
      <c r="C16" t="s">
        <v>81</v>
      </c>
      <c r="D16" t="s">
        <v>82</v>
      </c>
      <c r="E16" t="s">
        <v>83</v>
      </c>
      <c r="F16" t="s">
        <v>83</v>
      </c>
      <c r="G16" t="s">
        <v>29</v>
      </c>
      <c r="H16" t="s">
        <v>84</v>
      </c>
      <c r="I16" s="1">
        <v>41733</v>
      </c>
      <c r="J16" t="s">
        <v>26</v>
      </c>
      <c r="K16" t="s">
        <v>85</v>
      </c>
      <c r="L16">
        <v>2</v>
      </c>
      <c r="M16">
        <v>1</v>
      </c>
      <c r="O16" t="s">
        <v>19</v>
      </c>
      <c r="P16" t="s">
        <v>22</v>
      </c>
      <c r="Q16">
        <v>2860</v>
      </c>
      <c r="R16" t="s">
        <v>86</v>
      </c>
      <c r="S16" s="6" t="s">
        <v>218</v>
      </c>
      <c r="T16" s="3" t="s">
        <v>217</v>
      </c>
      <c r="U16">
        <v>33</v>
      </c>
      <c r="W16">
        <v>40</v>
      </c>
      <c r="Y16" s="4">
        <f>U16*W16</f>
        <v>1320</v>
      </c>
      <c r="AA16" s="4">
        <f t="shared" si="1"/>
        <v>599</v>
      </c>
    </row>
    <row r="17" spans="1:27" x14ac:dyDescent="0.25">
      <c r="A17">
        <v>3010124790</v>
      </c>
      <c r="B17" t="s">
        <v>80</v>
      </c>
      <c r="C17" t="s">
        <v>81</v>
      </c>
      <c r="D17" t="s">
        <v>82</v>
      </c>
      <c r="E17" t="s">
        <v>83</v>
      </c>
      <c r="F17" t="s">
        <v>83</v>
      </c>
      <c r="G17" t="s">
        <v>29</v>
      </c>
      <c r="H17" t="s">
        <v>84</v>
      </c>
      <c r="I17" s="1">
        <v>41733</v>
      </c>
      <c r="J17" t="s">
        <v>26</v>
      </c>
      <c r="K17" t="s">
        <v>87</v>
      </c>
      <c r="L17">
        <v>2</v>
      </c>
      <c r="M17">
        <v>1</v>
      </c>
      <c r="O17" t="s">
        <v>19</v>
      </c>
      <c r="P17" t="s">
        <v>22</v>
      </c>
      <c r="Q17">
        <v>2860</v>
      </c>
      <c r="R17" t="s">
        <v>86</v>
      </c>
      <c r="S17" s="6" t="s">
        <v>220</v>
      </c>
      <c r="T17" s="3" t="s">
        <v>219</v>
      </c>
      <c r="U17">
        <v>100</v>
      </c>
      <c r="V17">
        <v>20</v>
      </c>
      <c r="W17">
        <v>2</v>
      </c>
      <c r="Y17" s="4">
        <f t="shared" si="3"/>
        <v>4000</v>
      </c>
      <c r="AA17" s="4">
        <f t="shared" si="1"/>
        <v>1814</v>
      </c>
    </row>
    <row r="18" spans="1:27" x14ac:dyDescent="0.25">
      <c r="A18">
        <v>3010124790</v>
      </c>
      <c r="B18" t="s">
        <v>80</v>
      </c>
      <c r="C18" t="s">
        <v>81</v>
      </c>
      <c r="D18" t="s">
        <v>82</v>
      </c>
      <c r="E18" t="s">
        <v>83</v>
      </c>
      <c r="F18" t="s">
        <v>83</v>
      </c>
      <c r="G18" t="s">
        <v>29</v>
      </c>
      <c r="H18" t="s">
        <v>84</v>
      </c>
      <c r="I18" s="1">
        <v>41744</v>
      </c>
      <c r="J18" t="s">
        <v>26</v>
      </c>
      <c r="K18" t="s">
        <v>88</v>
      </c>
      <c r="L18">
        <v>6</v>
      </c>
      <c r="M18">
        <v>3</v>
      </c>
      <c r="O18" t="s">
        <v>19</v>
      </c>
      <c r="P18" t="s">
        <v>22</v>
      </c>
      <c r="Q18">
        <v>2860</v>
      </c>
      <c r="R18" t="s">
        <v>86</v>
      </c>
      <c r="S18" s="6" t="s">
        <v>222</v>
      </c>
      <c r="T18" s="3" t="s">
        <v>221</v>
      </c>
      <c r="U18">
        <v>160</v>
      </c>
      <c r="W18">
        <v>40</v>
      </c>
      <c r="Y18" s="4">
        <f>U18*W18</f>
        <v>6400</v>
      </c>
      <c r="AA18" s="4">
        <f t="shared" si="1"/>
        <v>2902</v>
      </c>
    </row>
    <row r="19" spans="1:27" x14ac:dyDescent="0.25">
      <c r="A19">
        <v>3006454956</v>
      </c>
      <c r="B19" t="s">
        <v>53</v>
      </c>
      <c r="C19" t="s">
        <v>54</v>
      </c>
      <c r="D19" t="s">
        <v>55</v>
      </c>
      <c r="E19" t="s">
        <v>56</v>
      </c>
      <c r="F19" t="s">
        <v>23</v>
      </c>
      <c r="G19" t="s">
        <v>24</v>
      </c>
      <c r="H19" t="s">
        <v>57</v>
      </c>
      <c r="I19" s="1">
        <v>42461</v>
      </c>
      <c r="J19" t="s">
        <v>27</v>
      </c>
      <c r="K19" t="s">
        <v>94</v>
      </c>
      <c r="L19">
        <v>1</v>
      </c>
      <c r="M19">
        <v>1</v>
      </c>
      <c r="O19" t="s">
        <v>19</v>
      </c>
      <c r="P19" t="s">
        <v>19</v>
      </c>
      <c r="Q19">
        <v>2860</v>
      </c>
      <c r="R19" t="s">
        <v>35</v>
      </c>
      <c r="S19" s="6" t="s">
        <v>223</v>
      </c>
      <c r="T19" s="2" t="s">
        <v>232</v>
      </c>
      <c r="U19">
        <v>3000</v>
      </c>
      <c r="W19">
        <v>15</v>
      </c>
      <c r="Y19" s="4">
        <f>U19*W19</f>
        <v>45000</v>
      </c>
      <c r="AA19" s="4">
        <f t="shared" si="1"/>
        <v>20408</v>
      </c>
    </row>
    <row r="20" spans="1:27" x14ac:dyDescent="0.25">
      <c r="A20">
        <v>3006454956</v>
      </c>
      <c r="B20" t="s">
        <v>53</v>
      </c>
      <c r="C20" t="s">
        <v>54</v>
      </c>
      <c r="D20" t="s">
        <v>55</v>
      </c>
      <c r="E20" t="s">
        <v>56</v>
      </c>
      <c r="F20" t="s">
        <v>23</v>
      </c>
      <c r="G20" t="s">
        <v>24</v>
      </c>
      <c r="H20" t="s">
        <v>57</v>
      </c>
      <c r="I20" s="1">
        <v>41947</v>
      </c>
      <c r="J20" t="s">
        <v>40</v>
      </c>
      <c r="K20" t="s">
        <v>105</v>
      </c>
      <c r="L20">
        <v>2</v>
      </c>
      <c r="M20">
        <v>1</v>
      </c>
      <c r="O20" t="s">
        <v>19</v>
      </c>
      <c r="P20" t="s">
        <v>19</v>
      </c>
      <c r="Q20">
        <v>2860</v>
      </c>
      <c r="R20" t="s">
        <v>35</v>
      </c>
      <c r="S20" s="6" t="s">
        <v>225</v>
      </c>
      <c r="T20" s="3" t="s">
        <v>224</v>
      </c>
      <c r="X20">
        <v>2</v>
      </c>
      <c r="Z20" s="4">
        <v>2</v>
      </c>
      <c r="AA20" s="4">
        <f t="shared" si="1"/>
        <v>2</v>
      </c>
    </row>
    <row r="21" spans="1:27" x14ac:dyDescent="0.25">
      <c r="A21">
        <v>3012981181</v>
      </c>
      <c r="B21" t="s">
        <v>108</v>
      </c>
      <c r="C21" t="s">
        <v>109</v>
      </c>
      <c r="D21" t="s">
        <v>110</v>
      </c>
      <c r="E21" t="s">
        <v>56</v>
      </c>
      <c r="F21" t="s">
        <v>23</v>
      </c>
      <c r="G21" t="s">
        <v>24</v>
      </c>
      <c r="H21" t="s">
        <v>111</v>
      </c>
      <c r="I21" s="1">
        <v>41863</v>
      </c>
      <c r="J21" t="s">
        <v>26</v>
      </c>
      <c r="K21" t="s">
        <v>112</v>
      </c>
      <c r="L21">
        <v>1</v>
      </c>
      <c r="M21">
        <v>1</v>
      </c>
      <c r="O21" t="s">
        <v>19</v>
      </c>
      <c r="P21" t="s">
        <v>19</v>
      </c>
      <c r="Q21" t="s">
        <v>100</v>
      </c>
      <c r="R21" t="s">
        <v>86</v>
      </c>
      <c r="S21" s="6" t="s">
        <v>227</v>
      </c>
      <c r="T21" s="3" t="s">
        <v>226</v>
      </c>
      <c r="U21">
        <v>1</v>
      </c>
      <c r="V21">
        <v>1</v>
      </c>
      <c r="W21">
        <v>1</v>
      </c>
      <c r="Y21" s="4">
        <v>1</v>
      </c>
      <c r="AA21" s="4">
        <f t="shared" si="1"/>
        <v>0</v>
      </c>
    </row>
    <row r="22" spans="1:27" x14ac:dyDescent="0.25">
      <c r="A22">
        <v>3012353433</v>
      </c>
      <c r="B22" t="s">
        <v>121</v>
      </c>
      <c r="C22" t="s">
        <v>122</v>
      </c>
      <c r="D22" t="s">
        <v>123</v>
      </c>
      <c r="E22" t="s">
        <v>104</v>
      </c>
      <c r="G22" t="s">
        <v>51</v>
      </c>
      <c r="H22" t="s">
        <v>124</v>
      </c>
      <c r="I22" s="1">
        <v>41733</v>
      </c>
      <c r="J22" t="s">
        <v>28</v>
      </c>
      <c r="K22" t="s">
        <v>125</v>
      </c>
      <c r="L22">
        <v>1</v>
      </c>
      <c r="M22">
        <v>1</v>
      </c>
      <c r="O22" t="s">
        <v>19</v>
      </c>
      <c r="P22" t="s">
        <v>19</v>
      </c>
      <c r="Q22" t="s">
        <v>126</v>
      </c>
      <c r="R22" t="s">
        <v>35</v>
      </c>
      <c r="S22" s="7" t="s">
        <v>228</v>
      </c>
      <c r="T22" s="3" t="s">
        <v>229</v>
      </c>
      <c r="X22">
        <v>23</v>
      </c>
      <c r="Z22" s="4">
        <v>23</v>
      </c>
      <c r="AA22" s="4">
        <f t="shared" si="1"/>
        <v>23</v>
      </c>
    </row>
    <row r="23" spans="1:27" x14ac:dyDescent="0.25">
      <c r="A23">
        <v>3010264647</v>
      </c>
      <c r="B23" t="s">
        <v>128</v>
      </c>
      <c r="C23" t="s">
        <v>129</v>
      </c>
      <c r="E23" t="s">
        <v>130</v>
      </c>
      <c r="G23" t="s">
        <v>46</v>
      </c>
      <c r="H23" t="s">
        <v>131</v>
      </c>
      <c r="I23" s="1">
        <v>42321</v>
      </c>
      <c r="J23" t="s">
        <v>20</v>
      </c>
      <c r="K23" t="s">
        <v>127</v>
      </c>
      <c r="L23">
        <v>1</v>
      </c>
      <c r="M23">
        <v>1</v>
      </c>
      <c r="N23" t="s">
        <v>43</v>
      </c>
      <c r="O23" t="s">
        <v>19</v>
      </c>
      <c r="P23" t="s">
        <v>19</v>
      </c>
      <c r="Q23" t="s">
        <v>115</v>
      </c>
      <c r="R23" t="s">
        <v>132</v>
      </c>
      <c r="S23" s="6" t="s">
        <v>231</v>
      </c>
      <c r="T23" s="3" t="s">
        <v>230</v>
      </c>
      <c r="U23">
        <v>1</v>
      </c>
      <c r="W23">
        <v>15</v>
      </c>
      <c r="Y23" s="4">
        <v>15</v>
      </c>
      <c r="AA23" s="4">
        <f t="shared" si="1"/>
        <v>7</v>
      </c>
    </row>
    <row r="24" spans="1:27" x14ac:dyDescent="0.25">
      <c r="A24">
        <v>3006454956</v>
      </c>
      <c r="B24" t="s">
        <v>53</v>
      </c>
      <c r="C24" t="s">
        <v>54</v>
      </c>
      <c r="D24" t="s">
        <v>55</v>
      </c>
      <c r="E24" t="s">
        <v>56</v>
      </c>
      <c r="F24" t="s">
        <v>23</v>
      </c>
      <c r="G24" t="s">
        <v>24</v>
      </c>
      <c r="H24" t="s">
        <v>84</v>
      </c>
      <c r="I24" s="1">
        <v>41855</v>
      </c>
      <c r="J24" t="s">
        <v>26</v>
      </c>
      <c r="K24" t="s">
        <v>135</v>
      </c>
      <c r="L24">
        <v>1</v>
      </c>
      <c r="M24">
        <v>1</v>
      </c>
      <c r="O24" t="s">
        <v>19</v>
      </c>
      <c r="P24" t="s">
        <v>19</v>
      </c>
      <c r="Q24">
        <v>2860</v>
      </c>
      <c r="R24" t="s">
        <v>86</v>
      </c>
      <c r="S24" s="6" t="s">
        <v>233</v>
      </c>
      <c r="T24" s="3" t="s">
        <v>232</v>
      </c>
      <c r="U24">
        <v>3000</v>
      </c>
      <c r="W24">
        <v>15</v>
      </c>
      <c r="Y24" s="4">
        <f>U24*W24</f>
        <v>45000</v>
      </c>
      <c r="AA24" s="4">
        <f t="shared" si="1"/>
        <v>20408</v>
      </c>
    </row>
    <row r="25" spans="1:27" x14ac:dyDescent="0.25">
      <c r="A25">
        <v>3013430840</v>
      </c>
      <c r="B25" t="s">
        <v>136</v>
      </c>
      <c r="C25" t="s">
        <v>137</v>
      </c>
      <c r="D25" t="s">
        <v>138</v>
      </c>
      <c r="E25" t="s">
        <v>49</v>
      </c>
      <c r="F25" t="s">
        <v>101</v>
      </c>
      <c r="G25" t="s">
        <v>24</v>
      </c>
      <c r="H25" t="s">
        <v>84</v>
      </c>
      <c r="I25" s="1">
        <v>42321</v>
      </c>
      <c r="J25" t="s">
        <v>26</v>
      </c>
      <c r="K25" t="s">
        <v>139</v>
      </c>
      <c r="L25">
        <v>1</v>
      </c>
      <c r="M25">
        <v>1</v>
      </c>
      <c r="O25" t="s">
        <v>22</v>
      </c>
      <c r="P25" t="s">
        <v>22</v>
      </c>
      <c r="Q25" t="s">
        <v>140</v>
      </c>
      <c r="R25" t="s">
        <v>86</v>
      </c>
      <c r="S25" s="6" t="s">
        <v>235</v>
      </c>
      <c r="T25" s="3" t="s">
        <v>234</v>
      </c>
      <c r="U25">
        <v>2690</v>
      </c>
      <c r="W25">
        <v>15</v>
      </c>
      <c r="Y25" s="4">
        <f>U25*W25</f>
        <v>40350</v>
      </c>
      <c r="AA25" s="4">
        <f t="shared" si="1"/>
        <v>18299</v>
      </c>
    </row>
    <row r="26" spans="1:27" x14ac:dyDescent="0.25">
      <c r="A26">
        <v>3010615231</v>
      </c>
      <c r="B26" t="s">
        <v>141</v>
      </c>
      <c r="C26" t="s">
        <v>142</v>
      </c>
      <c r="E26" t="s">
        <v>95</v>
      </c>
      <c r="F26" t="s">
        <v>97</v>
      </c>
      <c r="G26" t="s">
        <v>96</v>
      </c>
      <c r="H26" t="s">
        <v>143</v>
      </c>
      <c r="I26" s="1">
        <v>41773</v>
      </c>
      <c r="J26" t="s">
        <v>25</v>
      </c>
      <c r="K26" t="s">
        <v>144</v>
      </c>
      <c r="L26">
        <v>1</v>
      </c>
      <c r="M26">
        <v>1</v>
      </c>
      <c r="O26" t="s">
        <v>19</v>
      </c>
      <c r="P26" t="s">
        <v>19</v>
      </c>
      <c r="Q26">
        <v>308</v>
      </c>
      <c r="R26" t="s">
        <v>86</v>
      </c>
      <c r="S26" s="6" t="s">
        <v>237</v>
      </c>
      <c r="T26" s="3" t="s">
        <v>236</v>
      </c>
      <c r="U26">
        <v>46</v>
      </c>
      <c r="X26">
        <v>10</v>
      </c>
      <c r="Z26" s="4">
        <f>U26*X26</f>
        <v>460</v>
      </c>
      <c r="AA26" s="4">
        <f t="shared" si="1"/>
        <v>460</v>
      </c>
    </row>
    <row r="27" spans="1:27" x14ac:dyDescent="0.25">
      <c r="A27">
        <v>3008836125</v>
      </c>
      <c r="B27" t="s">
        <v>145</v>
      </c>
      <c r="C27" t="s">
        <v>146</v>
      </c>
      <c r="E27" t="s">
        <v>45</v>
      </c>
      <c r="F27" t="s">
        <v>45</v>
      </c>
      <c r="G27" t="s">
        <v>46</v>
      </c>
      <c r="H27" t="s">
        <v>147</v>
      </c>
      <c r="I27" s="1">
        <v>42212</v>
      </c>
      <c r="J27" t="s">
        <v>21</v>
      </c>
      <c r="K27" t="s">
        <v>148</v>
      </c>
      <c r="L27">
        <v>1</v>
      </c>
      <c r="M27">
        <v>1</v>
      </c>
      <c r="N27" t="s">
        <v>41</v>
      </c>
      <c r="O27" t="s">
        <v>22</v>
      </c>
      <c r="P27" t="s">
        <v>19</v>
      </c>
      <c r="Q27">
        <v>308</v>
      </c>
      <c r="R27" t="s">
        <v>132</v>
      </c>
    </row>
    <row r="28" spans="1:27" x14ac:dyDescent="0.25">
      <c r="A28">
        <v>3010115202</v>
      </c>
      <c r="B28" t="s">
        <v>149</v>
      </c>
      <c r="C28" t="s">
        <v>150</v>
      </c>
      <c r="E28" t="s">
        <v>151</v>
      </c>
      <c r="F28" t="s">
        <v>97</v>
      </c>
      <c r="G28" t="s">
        <v>96</v>
      </c>
      <c r="H28" t="s">
        <v>152</v>
      </c>
      <c r="I28" s="1">
        <v>42244</v>
      </c>
      <c r="J28" t="s">
        <v>21</v>
      </c>
      <c r="K28" t="s">
        <v>153</v>
      </c>
      <c r="L28">
        <v>2</v>
      </c>
      <c r="M28">
        <v>1</v>
      </c>
      <c r="O28" t="s">
        <v>22</v>
      </c>
      <c r="P28" t="s">
        <v>19</v>
      </c>
      <c r="Q28">
        <v>2960</v>
      </c>
      <c r="R28" t="s">
        <v>154</v>
      </c>
      <c r="S28" s="6" t="s">
        <v>237</v>
      </c>
      <c r="T28" s="3" t="s">
        <v>238</v>
      </c>
      <c r="U28">
        <v>70</v>
      </c>
      <c r="X28">
        <v>12</v>
      </c>
      <c r="Z28" s="4">
        <f>U28*X28</f>
        <v>840</v>
      </c>
      <c r="AA28" s="4">
        <f>IF(Z28="",ROUND(Y28/2.205,0),ROUND(Z28,0))</f>
        <v>840</v>
      </c>
    </row>
    <row r="29" spans="1:27" x14ac:dyDescent="0.25">
      <c r="A29">
        <v>3010135808</v>
      </c>
      <c r="B29" t="s">
        <v>155</v>
      </c>
      <c r="C29" t="s">
        <v>156</v>
      </c>
      <c r="E29" t="s">
        <v>95</v>
      </c>
      <c r="G29" t="s">
        <v>96</v>
      </c>
      <c r="H29" t="s">
        <v>152</v>
      </c>
      <c r="I29" s="1">
        <v>42355</v>
      </c>
      <c r="J29" t="s">
        <v>21</v>
      </c>
      <c r="K29" t="s">
        <v>157</v>
      </c>
      <c r="L29">
        <v>1</v>
      </c>
      <c r="M29">
        <v>1</v>
      </c>
      <c r="N29" t="s">
        <v>41</v>
      </c>
      <c r="O29" t="s">
        <v>22</v>
      </c>
      <c r="P29" t="s">
        <v>19</v>
      </c>
      <c r="Q29">
        <v>3821</v>
      </c>
      <c r="R29" t="s">
        <v>154</v>
      </c>
      <c r="S29" s="6" t="s">
        <v>239</v>
      </c>
      <c r="T29" s="3" t="s">
        <v>241</v>
      </c>
      <c r="X29">
        <v>24</v>
      </c>
      <c r="Z29" s="4">
        <v>24</v>
      </c>
      <c r="AA29" s="4">
        <f t="shared" ref="AA29:AA53" si="4">IF(Z29="",ROUND(Y29/2.205,0),ROUND(Z29,0))</f>
        <v>24</v>
      </c>
    </row>
    <row r="30" spans="1:27" x14ac:dyDescent="0.25">
      <c r="A30">
        <v>3010135808</v>
      </c>
      <c r="B30" t="s">
        <v>155</v>
      </c>
      <c r="C30" t="s">
        <v>156</v>
      </c>
      <c r="E30" t="s">
        <v>95</v>
      </c>
      <c r="G30" t="s">
        <v>96</v>
      </c>
      <c r="H30" t="s">
        <v>152</v>
      </c>
      <c r="I30" s="1">
        <v>42355</v>
      </c>
      <c r="J30" t="s">
        <v>21</v>
      </c>
      <c r="K30" t="s">
        <v>157</v>
      </c>
      <c r="L30">
        <v>1</v>
      </c>
      <c r="M30">
        <v>1</v>
      </c>
      <c r="N30" t="s">
        <v>42</v>
      </c>
      <c r="O30" t="s">
        <v>22</v>
      </c>
      <c r="P30" t="s">
        <v>19</v>
      </c>
      <c r="Q30">
        <v>3821</v>
      </c>
      <c r="R30" t="s">
        <v>154</v>
      </c>
      <c r="S30" s="6" t="s">
        <v>240</v>
      </c>
      <c r="T30" s="3" t="s">
        <v>242</v>
      </c>
      <c r="X30">
        <v>120</v>
      </c>
      <c r="Z30" s="4">
        <v>120</v>
      </c>
      <c r="AA30" s="4">
        <f t="shared" si="4"/>
        <v>120</v>
      </c>
    </row>
    <row r="31" spans="1:27" x14ac:dyDescent="0.25">
      <c r="A31">
        <v>3010488013</v>
      </c>
      <c r="B31" t="s">
        <v>158</v>
      </c>
      <c r="C31" t="s">
        <v>159</v>
      </c>
      <c r="E31" t="s">
        <v>95</v>
      </c>
      <c r="G31" t="s">
        <v>96</v>
      </c>
      <c r="H31" t="s">
        <v>131</v>
      </c>
      <c r="I31" s="1">
        <v>42710</v>
      </c>
      <c r="J31" t="s">
        <v>20</v>
      </c>
      <c r="K31" t="s">
        <v>160</v>
      </c>
      <c r="L31">
        <v>1</v>
      </c>
      <c r="M31">
        <v>2</v>
      </c>
      <c r="O31" t="s">
        <v>19</v>
      </c>
      <c r="P31" t="s">
        <v>19</v>
      </c>
      <c r="Q31">
        <v>249</v>
      </c>
      <c r="R31" t="s">
        <v>132</v>
      </c>
      <c r="S31" s="6" t="s">
        <v>244</v>
      </c>
      <c r="T31" s="3" t="s">
        <v>243</v>
      </c>
      <c r="U31">
        <v>19</v>
      </c>
      <c r="W31">
        <v>50</v>
      </c>
      <c r="Y31" s="4">
        <f>U31*W31</f>
        <v>950</v>
      </c>
      <c r="AA31" s="4">
        <f t="shared" si="4"/>
        <v>431</v>
      </c>
    </row>
    <row r="32" spans="1:27" x14ac:dyDescent="0.25">
      <c r="A32">
        <v>3011517495</v>
      </c>
      <c r="B32" t="s">
        <v>118</v>
      </c>
      <c r="C32" t="s">
        <v>119</v>
      </c>
      <c r="E32" t="s">
        <v>120</v>
      </c>
      <c r="G32" t="s">
        <v>102</v>
      </c>
      <c r="H32" t="s">
        <v>161</v>
      </c>
      <c r="I32" s="1">
        <v>42510</v>
      </c>
      <c r="J32" t="s">
        <v>21</v>
      </c>
      <c r="K32" t="s">
        <v>162</v>
      </c>
      <c r="L32">
        <v>4</v>
      </c>
      <c r="M32">
        <v>1</v>
      </c>
      <c r="O32" t="s">
        <v>22</v>
      </c>
      <c r="P32" t="s">
        <v>19</v>
      </c>
      <c r="Q32" t="s">
        <v>48</v>
      </c>
      <c r="R32" t="s">
        <v>86</v>
      </c>
      <c r="S32" s="6" t="s">
        <v>246</v>
      </c>
      <c r="T32" s="3" t="s">
        <v>245</v>
      </c>
      <c r="U32">
        <v>112</v>
      </c>
      <c r="V32">
        <v>48</v>
      </c>
      <c r="X32">
        <v>0.24</v>
      </c>
      <c r="Z32" s="4">
        <f>U32*V32*X32</f>
        <v>1290.24</v>
      </c>
      <c r="AA32" s="4">
        <f t="shared" si="4"/>
        <v>1290</v>
      </c>
    </row>
    <row r="33" spans="1:27" x14ac:dyDescent="0.25">
      <c r="A33">
        <v>3006454956</v>
      </c>
      <c r="B33" t="s">
        <v>53</v>
      </c>
      <c r="C33" t="s">
        <v>54</v>
      </c>
      <c r="D33" t="s">
        <v>55</v>
      </c>
      <c r="E33" t="s">
        <v>56</v>
      </c>
      <c r="F33" t="s">
        <v>23</v>
      </c>
      <c r="G33" t="s">
        <v>24</v>
      </c>
      <c r="H33" t="s">
        <v>70</v>
      </c>
      <c r="I33" s="1">
        <v>42158</v>
      </c>
      <c r="J33" t="s">
        <v>91</v>
      </c>
      <c r="K33" t="s">
        <v>163</v>
      </c>
      <c r="L33">
        <v>1</v>
      </c>
      <c r="M33">
        <v>2</v>
      </c>
      <c r="O33" t="s">
        <v>22</v>
      </c>
      <c r="P33" t="s">
        <v>19</v>
      </c>
      <c r="Q33">
        <v>2860</v>
      </c>
      <c r="R33" t="s">
        <v>35</v>
      </c>
      <c r="S33" s="6" t="s">
        <v>248</v>
      </c>
      <c r="T33" s="3" t="s">
        <v>247</v>
      </c>
      <c r="U33">
        <v>1160</v>
      </c>
      <c r="W33">
        <v>15</v>
      </c>
      <c r="Y33" s="4">
        <f>U33*W33</f>
        <v>17400</v>
      </c>
      <c r="AA33" s="4">
        <f t="shared" si="4"/>
        <v>7891</v>
      </c>
    </row>
    <row r="34" spans="1:27" x14ac:dyDescent="0.25">
      <c r="A34">
        <v>3010508040</v>
      </c>
      <c r="B34" t="s">
        <v>164</v>
      </c>
      <c r="C34" t="s">
        <v>165</v>
      </c>
      <c r="E34" t="s">
        <v>106</v>
      </c>
      <c r="F34" t="s">
        <v>47</v>
      </c>
      <c r="G34" t="s">
        <v>24</v>
      </c>
      <c r="H34" t="s">
        <v>84</v>
      </c>
      <c r="I34" s="1">
        <v>41698</v>
      </c>
      <c r="J34" t="s">
        <v>39</v>
      </c>
      <c r="K34" t="s">
        <v>166</v>
      </c>
      <c r="L34">
        <v>1</v>
      </c>
      <c r="M34">
        <v>1</v>
      </c>
      <c r="O34" t="s">
        <v>19</v>
      </c>
      <c r="P34" t="s">
        <v>22</v>
      </c>
      <c r="Q34" t="s">
        <v>99</v>
      </c>
      <c r="R34" t="s">
        <v>86</v>
      </c>
      <c r="S34" s="6" t="s">
        <v>227</v>
      </c>
      <c r="T34" s="3" t="s">
        <v>249</v>
      </c>
      <c r="U34">
        <v>2400</v>
      </c>
      <c r="W34">
        <v>36000</v>
      </c>
      <c r="Y34" s="4">
        <f t="shared" ref="Y34:Y46" si="5">U34*W34</f>
        <v>86400000</v>
      </c>
      <c r="AA34" s="4">
        <f t="shared" si="4"/>
        <v>39183673</v>
      </c>
    </row>
    <row r="35" spans="1:27" x14ac:dyDescent="0.25">
      <c r="A35">
        <v>3010508040</v>
      </c>
      <c r="B35" t="s">
        <v>164</v>
      </c>
      <c r="C35" t="s">
        <v>165</v>
      </c>
      <c r="E35" t="s">
        <v>106</v>
      </c>
      <c r="F35" t="s">
        <v>47</v>
      </c>
      <c r="G35" t="s">
        <v>24</v>
      </c>
      <c r="H35" t="s">
        <v>84</v>
      </c>
      <c r="I35" s="1">
        <v>41744</v>
      </c>
      <c r="J35" t="s">
        <v>18</v>
      </c>
      <c r="K35" t="s">
        <v>167</v>
      </c>
      <c r="L35">
        <v>1</v>
      </c>
      <c r="M35">
        <v>1</v>
      </c>
      <c r="O35" t="s">
        <v>19</v>
      </c>
      <c r="P35" t="s">
        <v>22</v>
      </c>
      <c r="Q35">
        <v>2860</v>
      </c>
      <c r="R35" t="s">
        <v>86</v>
      </c>
      <c r="S35" s="6" t="s">
        <v>227</v>
      </c>
      <c r="T35" s="3" t="s">
        <v>249</v>
      </c>
      <c r="U35">
        <v>2400</v>
      </c>
      <c r="W35">
        <v>36000</v>
      </c>
      <c r="Y35" s="4">
        <f t="shared" si="5"/>
        <v>86400000</v>
      </c>
      <c r="AA35" s="4">
        <f t="shared" si="4"/>
        <v>39183673</v>
      </c>
    </row>
    <row r="36" spans="1:27" x14ac:dyDescent="0.25">
      <c r="A36">
        <v>3010508040</v>
      </c>
      <c r="B36" t="s">
        <v>164</v>
      </c>
      <c r="C36" t="s">
        <v>165</v>
      </c>
      <c r="E36" t="s">
        <v>106</v>
      </c>
      <c r="F36" t="s">
        <v>47</v>
      </c>
      <c r="G36" t="s">
        <v>24</v>
      </c>
      <c r="H36" t="s">
        <v>84</v>
      </c>
      <c r="I36" s="1">
        <v>41744</v>
      </c>
      <c r="J36" t="s">
        <v>18</v>
      </c>
      <c r="K36" t="s">
        <v>168</v>
      </c>
      <c r="L36">
        <v>1</v>
      </c>
      <c r="M36">
        <v>1</v>
      </c>
      <c r="O36" t="s">
        <v>19</v>
      </c>
      <c r="P36" t="s">
        <v>22</v>
      </c>
      <c r="Q36">
        <v>2860</v>
      </c>
      <c r="R36" t="s">
        <v>86</v>
      </c>
      <c r="S36" s="6" t="s">
        <v>227</v>
      </c>
      <c r="T36" s="3" t="s">
        <v>249</v>
      </c>
      <c r="U36">
        <v>2400</v>
      </c>
      <c r="W36">
        <v>36000</v>
      </c>
      <c r="Y36" s="4">
        <f t="shared" si="5"/>
        <v>86400000</v>
      </c>
      <c r="AA36" s="4">
        <f t="shared" si="4"/>
        <v>39183673</v>
      </c>
    </row>
    <row r="37" spans="1:27" x14ac:dyDescent="0.25">
      <c r="A37">
        <v>3010508040</v>
      </c>
      <c r="B37" t="s">
        <v>164</v>
      </c>
      <c r="C37" t="s">
        <v>165</v>
      </c>
      <c r="E37" t="s">
        <v>106</v>
      </c>
      <c r="F37" t="s">
        <v>47</v>
      </c>
      <c r="G37" t="s">
        <v>24</v>
      </c>
      <c r="H37" t="s">
        <v>84</v>
      </c>
      <c r="I37" s="1">
        <v>41698</v>
      </c>
      <c r="J37" t="s">
        <v>39</v>
      </c>
      <c r="K37" t="s">
        <v>169</v>
      </c>
      <c r="L37">
        <v>1</v>
      </c>
      <c r="M37">
        <v>1</v>
      </c>
      <c r="O37" t="s">
        <v>19</v>
      </c>
      <c r="P37" t="s">
        <v>22</v>
      </c>
      <c r="Q37" t="s">
        <v>59</v>
      </c>
      <c r="R37" t="s">
        <v>86</v>
      </c>
      <c r="S37" s="6" t="s">
        <v>227</v>
      </c>
      <c r="T37" s="3" t="s">
        <v>249</v>
      </c>
      <c r="U37">
        <v>2400</v>
      </c>
      <c r="W37">
        <v>36000</v>
      </c>
      <c r="Y37" s="4">
        <f t="shared" si="5"/>
        <v>86400000</v>
      </c>
      <c r="AA37" s="4">
        <f t="shared" si="4"/>
        <v>39183673</v>
      </c>
    </row>
    <row r="38" spans="1:27" x14ac:dyDescent="0.25">
      <c r="A38">
        <v>3010508040</v>
      </c>
      <c r="B38" t="s">
        <v>164</v>
      </c>
      <c r="C38" t="s">
        <v>165</v>
      </c>
      <c r="E38" t="s">
        <v>106</v>
      </c>
      <c r="F38" t="s">
        <v>47</v>
      </c>
      <c r="G38" t="s">
        <v>24</v>
      </c>
      <c r="H38" t="s">
        <v>84</v>
      </c>
      <c r="I38" s="1">
        <v>41698</v>
      </c>
      <c r="J38" t="s">
        <v>39</v>
      </c>
      <c r="K38" t="s">
        <v>170</v>
      </c>
      <c r="L38">
        <v>1</v>
      </c>
      <c r="M38">
        <v>1</v>
      </c>
      <c r="O38" t="s">
        <v>19</v>
      </c>
      <c r="P38" t="s">
        <v>22</v>
      </c>
      <c r="Q38" t="s">
        <v>59</v>
      </c>
      <c r="R38" t="s">
        <v>86</v>
      </c>
      <c r="S38" s="6" t="s">
        <v>227</v>
      </c>
      <c r="T38" s="3" t="s">
        <v>249</v>
      </c>
      <c r="U38">
        <v>2400</v>
      </c>
      <c r="W38">
        <v>36000</v>
      </c>
      <c r="Y38" s="4">
        <f t="shared" si="5"/>
        <v>86400000</v>
      </c>
      <c r="AA38" s="4">
        <f t="shared" si="4"/>
        <v>39183673</v>
      </c>
    </row>
    <row r="39" spans="1:27" x14ac:dyDescent="0.25">
      <c r="A39">
        <v>3006454956</v>
      </c>
      <c r="B39" t="s">
        <v>53</v>
      </c>
      <c r="C39" t="s">
        <v>54</v>
      </c>
      <c r="D39" t="s">
        <v>55</v>
      </c>
      <c r="E39" t="s">
        <v>56</v>
      </c>
      <c r="F39" t="s">
        <v>23</v>
      </c>
      <c r="G39" t="s">
        <v>24</v>
      </c>
      <c r="H39" t="s">
        <v>171</v>
      </c>
      <c r="I39" s="1">
        <v>42024</v>
      </c>
      <c r="J39" t="s">
        <v>26</v>
      </c>
      <c r="K39" t="s">
        <v>172</v>
      </c>
      <c r="L39">
        <v>1</v>
      </c>
      <c r="M39">
        <v>1</v>
      </c>
      <c r="O39" t="s">
        <v>19</v>
      </c>
      <c r="P39" t="s">
        <v>19</v>
      </c>
      <c r="Q39">
        <v>2860</v>
      </c>
      <c r="R39" t="s">
        <v>86</v>
      </c>
      <c r="S39" s="6" t="s">
        <v>251</v>
      </c>
      <c r="T39" s="3" t="s">
        <v>250</v>
      </c>
      <c r="U39">
        <v>1666</v>
      </c>
      <c r="W39">
        <v>24</v>
      </c>
      <c r="Y39" s="4">
        <f t="shared" si="5"/>
        <v>39984</v>
      </c>
      <c r="AA39" s="4">
        <f t="shared" si="4"/>
        <v>18133</v>
      </c>
    </row>
    <row r="40" spans="1:27" x14ac:dyDescent="0.25">
      <c r="A40">
        <v>3006454956</v>
      </c>
      <c r="B40" t="s">
        <v>53</v>
      </c>
      <c r="C40" t="s">
        <v>54</v>
      </c>
      <c r="D40" t="s">
        <v>55</v>
      </c>
      <c r="E40" t="s">
        <v>56</v>
      </c>
      <c r="F40" t="s">
        <v>23</v>
      </c>
      <c r="G40" t="s">
        <v>24</v>
      </c>
      <c r="H40" t="s">
        <v>57</v>
      </c>
      <c r="I40" s="1">
        <v>42125</v>
      </c>
      <c r="J40" t="s">
        <v>52</v>
      </c>
      <c r="K40" t="s">
        <v>173</v>
      </c>
      <c r="L40">
        <v>1</v>
      </c>
      <c r="M40">
        <v>1</v>
      </c>
      <c r="O40" t="s">
        <v>22</v>
      </c>
      <c r="P40" t="s">
        <v>19</v>
      </c>
      <c r="Q40" t="s">
        <v>59</v>
      </c>
      <c r="R40" t="s">
        <v>35</v>
      </c>
      <c r="S40" s="6" t="s">
        <v>252</v>
      </c>
      <c r="T40" s="3" t="s">
        <v>232</v>
      </c>
      <c r="U40">
        <v>3000</v>
      </c>
      <c r="W40">
        <v>15</v>
      </c>
      <c r="Y40" s="4">
        <f t="shared" si="5"/>
        <v>45000</v>
      </c>
      <c r="AA40" s="4">
        <f t="shared" si="4"/>
        <v>20408</v>
      </c>
    </row>
    <row r="41" spans="1:27" x14ac:dyDescent="0.25">
      <c r="A41">
        <v>3006454956</v>
      </c>
      <c r="B41" t="s">
        <v>53</v>
      </c>
      <c r="C41" t="s">
        <v>54</v>
      </c>
      <c r="D41" t="s">
        <v>55</v>
      </c>
      <c r="E41" t="s">
        <v>56</v>
      </c>
      <c r="F41" t="s">
        <v>23</v>
      </c>
      <c r="G41" t="s">
        <v>24</v>
      </c>
      <c r="H41" t="s">
        <v>57</v>
      </c>
      <c r="I41" s="1">
        <v>42160</v>
      </c>
      <c r="J41" t="s">
        <v>25</v>
      </c>
      <c r="K41" t="s">
        <v>174</v>
      </c>
      <c r="L41">
        <v>1</v>
      </c>
      <c r="M41">
        <v>1</v>
      </c>
      <c r="O41" t="s">
        <v>22</v>
      </c>
      <c r="P41" t="s">
        <v>22</v>
      </c>
      <c r="Q41" t="s">
        <v>59</v>
      </c>
      <c r="R41" t="s">
        <v>35</v>
      </c>
      <c r="S41" s="6" t="s">
        <v>254</v>
      </c>
      <c r="T41" s="3" t="s">
        <v>253</v>
      </c>
      <c r="U41">
        <v>2999</v>
      </c>
      <c r="W41">
        <v>15</v>
      </c>
      <c r="Y41" s="4">
        <f t="shared" si="5"/>
        <v>44985</v>
      </c>
      <c r="AA41" s="4">
        <f t="shared" si="4"/>
        <v>20401</v>
      </c>
    </row>
    <row r="42" spans="1:27" x14ac:dyDescent="0.25">
      <c r="A42">
        <v>3006454956</v>
      </c>
      <c r="B42" t="s">
        <v>53</v>
      </c>
      <c r="C42" t="s">
        <v>54</v>
      </c>
      <c r="D42" t="s">
        <v>55</v>
      </c>
      <c r="E42" t="s">
        <v>56</v>
      </c>
      <c r="F42" t="s">
        <v>23</v>
      </c>
      <c r="G42" t="s">
        <v>24</v>
      </c>
      <c r="H42" t="s">
        <v>57</v>
      </c>
      <c r="I42" s="1">
        <v>42229</v>
      </c>
      <c r="J42" t="s">
        <v>25</v>
      </c>
      <c r="K42" t="s">
        <v>175</v>
      </c>
      <c r="L42">
        <v>1</v>
      </c>
      <c r="M42">
        <v>1</v>
      </c>
      <c r="O42" t="s">
        <v>19</v>
      </c>
      <c r="P42" t="s">
        <v>22</v>
      </c>
      <c r="Q42">
        <v>2860</v>
      </c>
      <c r="R42" t="s">
        <v>35</v>
      </c>
      <c r="S42" s="6" t="s">
        <v>255</v>
      </c>
      <c r="T42" s="3" t="s">
        <v>253</v>
      </c>
      <c r="U42">
        <v>2999</v>
      </c>
      <c r="W42">
        <v>15</v>
      </c>
      <c r="Y42" s="4">
        <f t="shared" si="5"/>
        <v>44985</v>
      </c>
      <c r="AA42" s="4">
        <f t="shared" si="4"/>
        <v>20401</v>
      </c>
    </row>
    <row r="43" spans="1:27" x14ac:dyDescent="0.25">
      <c r="A43">
        <v>3008483107</v>
      </c>
      <c r="B43" t="s">
        <v>176</v>
      </c>
      <c r="C43" t="s">
        <v>177</v>
      </c>
      <c r="E43" t="s">
        <v>133</v>
      </c>
      <c r="G43" t="s">
        <v>134</v>
      </c>
      <c r="H43" t="s">
        <v>178</v>
      </c>
      <c r="I43" s="1">
        <v>41856</v>
      </c>
      <c r="J43" t="s">
        <v>44</v>
      </c>
      <c r="K43" t="s">
        <v>179</v>
      </c>
      <c r="L43">
        <v>2</v>
      </c>
      <c r="M43">
        <v>1</v>
      </c>
      <c r="O43" t="s">
        <v>22</v>
      </c>
      <c r="P43" t="s">
        <v>19</v>
      </c>
      <c r="Q43">
        <v>249</v>
      </c>
      <c r="R43" t="s">
        <v>180</v>
      </c>
      <c r="S43" s="6" t="s">
        <v>89</v>
      </c>
      <c r="T43" s="3" t="s">
        <v>256</v>
      </c>
      <c r="W43">
        <v>127.6</v>
      </c>
      <c r="Y43" s="4">
        <v>127.6</v>
      </c>
      <c r="AA43" s="4">
        <f t="shared" si="4"/>
        <v>58</v>
      </c>
    </row>
    <row r="44" spans="1:27" x14ac:dyDescent="0.25">
      <c r="A44">
        <v>3006454956</v>
      </c>
      <c r="B44" t="s">
        <v>53</v>
      </c>
      <c r="C44" t="s">
        <v>54</v>
      </c>
      <c r="D44" t="s">
        <v>55</v>
      </c>
      <c r="E44" t="s">
        <v>56</v>
      </c>
      <c r="F44" t="s">
        <v>23</v>
      </c>
      <c r="G44" t="s">
        <v>24</v>
      </c>
      <c r="H44" t="s">
        <v>57</v>
      </c>
      <c r="I44" s="1">
        <v>42191</v>
      </c>
      <c r="J44" t="s">
        <v>20</v>
      </c>
      <c r="K44" t="s">
        <v>181</v>
      </c>
      <c r="L44">
        <v>1</v>
      </c>
      <c r="M44">
        <v>1</v>
      </c>
      <c r="O44" t="s">
        <v>19</v>
      </c>
      <c r="P44" t="s">
        <v>19</v>
      </c>
      <c r="Q44">
        <v>2860</v>
      </c>
      <c r="R44" t="s">
        <v>35</v>
      </c>
      <c r="S44" s="6" t="s">
        <v>257</v>
      </c>
      <c r="T44" s="3" t="s">
        <v>232</v>
      </c>
      <c r="U44">
        <v>3000</v>
      </c>
      <c r="W44">
        <v>15</v>
      </c>
      <c r="Y44" s="4">
        <f t="shared" si="5"/>
        <v>45000</v>
      </c>
      <c r="AA44" s="4">
        <f t="shared" si="4"/>
        <v>20408</v>
      </c>
    </row>
    <row r="45" spans="1:27" x14ac:dyDescent="0.25">
      <c r="A45">
        <v>3006454956</v>
      </c>
      <c r="B45" t="s">
        <v>53</v>
      </c>
      <c r="C45" t="s">
        <v>54</v>
      </c>
      <c r="D45" t="s">
        <v>55</v>
      </c>
      <c r="E45" t="s">
        <v>56</v>
      </c>
      <c r="F45" t="s">
        <v>23</v>
      </c>
      <c r="G45" t="s">
        <v>24</v>
      </c>
      <c r="H45" t="s">
        <v>171</v>
      </c>
      <c r="I45" s="1">
        <v>42324</v>
      </c>
      <c r="J45" t="s">
        <v>39</v>
      </c>
      <c r="K45" t="s">
        <v>182</v>
      </c>
      <c r="L45">
        <v>1</v>
      </c>
      <c r="M45">
        <v>1</v>
      </c>
      <c r="O45" t="s">
        <v>19</v>
      </c>
      <c r="P45" t="s">
        <v>19</v>
      </c>
      <c r="Q45" t="s">
        <v>59</v>
      </c>
      <c r="R45" t="s">
        <v>86</v>
      </c>
      <c r="S45" s="6" t="s">
        <v>258</v>
      </c>
      <c r="T45" s="3" t="s">
        <v>232</v>
      </c>
      <c r="U45">
        <v>3000</v>
      </c>
      <c r="W45">
        <v>15</v>
      </c>
      <c r="Y45" s="4">
        <f t="shared" si="5"/>
        <v>45000</v>
      </c>
      <c r="AA45" s="4">
        <f t="shared" si="4"/>
        <v>20408</v>
      </c>
    </row>
    <row r="46" spans="1:27" x14ac:dyDescent="0.25">
      <c r="A46">
        <v>3006454956</v>
      </c>
      <c r="B46" t="s">
        <v>53</v>
      </c>
      <c r="C46" t="s">
        <v>54</v>
      </c>
      <c r="D46" t="s">
        <v>55</v>
      </c>
      <c r="E46" t="s">
        <v>56</v>
      </c>
      <c r="F46" t="s">
        <v>23</v>
      </c>
      <c r="G46" t="s">
        <v>24</v>
      </c>
      <c r="H46" t="s">
        <v>57</v>
      </c>
      <c r="I46" s="1">
        <v>41642</v>
      </c>
      <c r="J46" t="s">
        <v>25</v>
      </c>
      <c r="K46" t="s">
        <v>183</v>
      </c>
      <c r="L46">
        <v>1</v>
      </c>
      <c r="M46">
        <v>1</v>
      </c>
      <c r="O46" t="s">
        <v>19</v>
      </c>
      <c r="P46" t="s">
        <v>22</v>
      </c>
      <c r="Q46">
        <v>2860</v>
      </c>
      <c r="R46" t="s">
        <v>35</v>
      </c>
      <c r="S46" s="6" t="s">
        <v>259</v>
      </c>
      <c r="T46" s="3" t="s">
        <v>232</v>
      </c>
      <c r="U46">
        <v>3000</v>
      </c>
      <c r="W46">
        <v>15</v>
      </c>
      <c r="Y46" s="4">
        <f t="shared" si="5"/>
        <v>45000</v>
      </c>
      <c r="AA46" s="4">
        <f t="shared" si="4"/>
        <v>20408</v>
      </c>
    </row>
    <row r="47" spans="1:27" x14ac:dyDescent="0.25">
      <c r="A47">
        <v>3011462740</v>
      </c>
      <c r="B47" t="s">
        <v>184</v>
      </c>
      <c r="C47" t="s">
        <v>185</v>
      </c>
      <c r="D47" t="s">
        <v>186</v>
      </c>
      <c r="E47" t="s">
        <v>187</v>
      </c>
      <c r="F47" t="s">
        <v>45</v>
      </c>
      <c r="G47" t="s">
        <v>46</v>
      </c>
      <c r="H47" t="s">
        <v>188</v>
      </c>
      <c r="I47" s="1">
        <v>42557</v>
      </c>
      <c r="J47" t="s">
        <v>38</v>
      </c>
      <c r="K47" t="s">
        <v>189</v>
      </c>
      <c r="L47">
        <v>3</v>
      </c>
      <c r="M47">
        <v>1</v>
      </c>
      <c r="O47" t="s">
        <v>22</v>
      </c>
      <c r="P47" t="s">
        <v>19</v>
      </c>
      <c r="Q47">
        <v>2960</v>
      </c>
      <c r="R47" t="s">
        <v>180</v>
      </c>
      <c r="S47" s="6" t="s">
        <v>261</v>
      </c>
      <c r="T47" s="3" t="s">
        <v>260</v>
      </c>
      <c r="U47">
        <v>1</v>
      </c>
      <c r="W47">
        <v>35</v>
      </c>
      <c r="X47">
        <v>28</v>
      </c>
      <c r="Z47" s="4">
        <f>U47*W47*X47</f>
        <v>980</v>
      </c>
      <c r="AA47" s="4">
        <f t="shared" si="4"/>
        <v>980</v>
      </c>
    </row>
    <row r="48" spans="1:27" x14ac:dyDescent="0.25">
      <c r="A48">
        <v>3011720083</v>
      </c>
      <c r="B48" t="s">
        <v>190</v>
      </c>
      <c r="C48" t="s">
        <v>191</v>
      </c>
      <c r="E48" t="s">
        <v>113</v>
      </c>
      <c r="G48" t="s">
        <v>114</v>
      </c>
      <c r="H48" t="s">
        <v>192</v>
      </c>
      <c r="I48" s="1">
        <v>42446</v>
      </c>
      <c r="J48" t="s">
        <v>21</v>
      </c>
      <c r="K48" t="s">
        <v>193</v>
      </c>
      <c r="L48">
        <v>1</v>
      </c>
      <c r="M48">
        <v>1</v>
      </c>
      <c r="N48" t="s">
        <v>41</v>
      </c>
      <c r="O48" t="s">
        <v>22</v>
      </c>
      <c r="P48" t="s">
        <v>19</v>
      </c>
      <c r="Q48" t="s">
        <v>194</v>
      </c>
      <c r="R48" t="s">
        <v>132</v>
      </c>
      <c r="S48" s="6" t="s">
        <v>263</v>
      </c>
      <c r="T48" s="3" t="s">
        <v>262</v>
      </c>
      <c r="W48">
        <v>84</v>
      </c>
      <c r="Y48" s="4">
        <v>84</v>
      </c>
      <c r="AA48" s="4">
        <f t="shared" si="4"/>
        <v>38</v>
      </c>
    </row>
    <row r="49" spans="1:27" x14ac:dyDescent="0.25">
      <c r="A49">
        <v>3007922564</v>
      </c>
      <c r="B49" t="s">
        <v>74</v>
      </c>
      <c r="C49" t="s">
        <v>75</v>
      </c>
      <c r="D49" t="s">
        <v>76</v>
      </c>
      <c r="E49" t="s">
        <v>77</v>
      </c>
      <c r="F49" t="s">
        <v>78</v>
      </c>
      <c r="G49" t="s">
        <v>24</v>
      </c>
      <c r="H49" t="s">
        <v>57</v>
      </c>
      <c r="I49" s="1">
        <v>41857</v>
      </c>
      <c r="J49" t="s">
        <v>26</v>
      </c>
      <c r="K49" t="s">
        <v>195</v>
      </c>
      <c r="L49">
        <v>1</v>
      </c>
      <c r="M49">
        <v>1</v>
      </c>
      <c r="O49" t="s">
        <v>19</v>
      </c>
      <c r="P49" t="s">
        <v>19</v>
      </c>
      <c r="Q49">
        <v>238</v>
      </c>
      <c r="R49" t="s">
        <v>35</v>
      </c>
      <c r="S49" s="6" t="s">
        <v>265</v>
      </c>
      <c r="T49" s="3" t="s">
        <v>264</v>
      </c>
      <c r="U49">
        <v>1296</v>
      </c>
      <c r="V49">
        <v>12</v>
      </c>
      <c r="W49">
        <v>2.5</v>
      </c>
      <c r="Y49" s="4">
        <f t="shared" ref="Y49" si="6">U49*V49*W49</f>
        <v>38880</v>
      </c>
      <c r="AA49" s="4">
        <f t="shared" si="4"/>
        <v>17633</v>
      </c>
    </row>
    <row r="50" spans="1:27" x14ac:dyDescent="0.25">
      <c r="A50">
        <v>3004251160</v>
      </c>
      <c r="B50" t="s">
        <v>116</v>
      </c>
      <c r="C50" t="s">
        <v>117</v>
      </c>
      <c r="D50" t="s">
        <v>92</v>
      </c>
      <c r="E50" t="s">
        <v>93</v>
      </c>
      <c r="F50" t="s">
        <v>101</v>
      </c>
      <c r="G50" t="s">
        <v>24</v>
      </c>
      <c r="H50" t="s">
        <v>57</v>
      </c>
      <c r="I50" s="1">
        <v>41772</v>
      </c>
      <c r="J50" t="s">
        <v>27</v>
      </c>
      <c r="K50" t="s">
        <v>196</v>
      </c>
      <c r="L50">
        <v>1</v>
      </c>
      <c r="M50">
        <v>1</v>
      </c>
      <c r="O50" t="s">
        <v>19</v>
      </c>
      <c r="P50" t="s">
        <v>22</v>
      </c>
      <c r="Q50">
        <v>2860</v>
      </c>
      <c r="R50" t="s">
        <v>35</v>
      </c>
      <c r="S50" s="6" t="s">
        <v>267</v>
      </c>
      <c r="T50" s="3" t="s">
        <v>266</v>
      </c>
      <c r="U50">
        <v>2510</v>
      </c>
      <c r="X50">
        <v>6.8</v>
      </c>
      <c r="Z50" s="4">
        <f>U50*X50</f>
        <v>17068</v>
      </c>
      <c r="AA50" s="4">
        <f t="shared" si="4"/>
        <v>17068</v>
      </c>
    </row>
    <row r="51" spans="1:27" x14ac:dyDescent="0.25">
      <c r="A51">
        <v>3004251160</v>
      </c>
      <c r="B51" t="s">
        <v>116</v>
      </c>
      <c r="C51" t="s">
        <v>117</v>
      </c>
      <c r="D51" t="s">
        <v>92</v>
      </c>
      <c r="E51" t="s">
        <v>93</v>
      </c>
      <c r="F51" t="s">
        <v>101</v>
      </c>
      <c r="G51" t="s">
        <v>24</v>
      </c>
      <c r="H51" t="s">
        <v>57</v>
      </c>
      <c r="I51" s="1">
        <v>42215</v>
      </c>
      <c r="J51" t="s">
        <v>27</v>
      </c>
      <c r="K51" t="s">
        <v>197</v>
      </c>
      <c r="L51">
        <v>1</v>
      </c>
      <c r="M51">
        <v>1</v>
      </c>
      <c r="O51" t="s">
        <v>19</v>
      </c>
      <c r="P51" t="s">
        <v>19</v>
      </c>
      <c r="Q51" t="s">
        <v>98</v>
      </c>
      <c r="R51" t="s">
        <v>35</v>
      </c>
      <c r="S51" s="6" t="s">
        <v>267</v>
      </c>
      <c r="T51" s="3" t="s">
        <v>268</v>
      </c>
      <c r="U51">
        <v>2650</v>
      </c>
      <c r="X51">
        <v>6.8</v>
      </c>
      <c r="Z51" s="4">
        <f>U51*X51</f>
        <v>18020</v>
      </c>
      <c r="AA51" s="4">
        <f t="shared" si="4"/>
        <v>18020</v>
      </c>
    </row>
    <row r="52" spans="1:27" x14ac:dyDescent="0.25">
      <c r="A52">
        <v>3006454956</v>
      </c>
      <c r="B52" t="s">
        <v>53</v>
      </c>
      <c r="C52" t="s">
        <v>54</v>
      </c>
      <c r="D52" t="s">
        <v>55</v>
      </c>
      <c r="E52" t="s">
        <v>56</v>
      </c>
      <c r="F52" t="s">
        <v>23</v>
      </c>
      <c r="G52" t="s">
        <v>24</v>
      </c>
      <c r="H52" t="s">
        <v>57</v>
      </c>
      <c r="I52" s="1">
        <v>41760</v>
      </c>
      <c r="J52" t="s">
        <v>40</v>
      </c>
      <c r="K52" t="s">
        <v>198</v>
      </c>
      <c r="L52">
        <v>1</v>
      </c>
      <c r="M52">
        <v>1</v>
      </c>
      <c r="O52" t="s">
        <v>19</v>
      </c>
      <c r="P52" t="s">
        <v>19</v>
      </c>
      <c r="Q52" t="s">
        <v>59</v>
      </c>
      <c r="R52" t="s">
        <v>35</v>
      </c>
      <c r="S52" s="6" t="s">
        <v>227</v>
      </c>
      <c r="T52" s="3" t="s">
        <v>232</v>
      </c>
      <c r="U52">
        <v>3000</v>
      </c>
      <c r="W52">
        <v>15</v>
      </c>
      <c r="Y52" s="4">
        <v>15</v>
      </c>
      <c r="AA52" s="4">
        <f t="shared" si="4"/>
        <v>7</v>
      </c>
    </row>
    <row r="53" spans="1:27" x14ac:dyDescent="0.25">
      <c r="A53">
        <v>3006689426</v>
      </c>
      <c r="B53" t="s">
        <v>199</v>
      </c>
      <c r="C53" t="s">
        <v>200</v>
      </c>
      <c r="E53" t="s">
        <v>107</v>
      </c>
      <c r="G53" t="s">
        <v>103</v>
      </c>
      <c r="H53" t="s">
        <v>188</v>
      </c>
      <c r="I53" s="1">
        <v>41764</v>
      </c>
      <c r="J53" t="s">
        <v>27</v>
      </c>
      <c r="K53" t="s">
        <v>201</v>
      </c>
      <c r="L53">
        <v>7</v>
      </c>
      <c r="M53">
        <v>1</v>
      </c>
      <c r="O53" t="s">
        <v>19</v>
      </c>
      <c r="P53" t="s">
        <v>19</v>
      </c>
      <c r="Q53">
        <v>319</v>
      </c>
      <c r="R53" t="s">
        <v>180</v>
      </c>
      <c r="S53" s="7" t="s">
        <v>270</v>
      </c>
      <c r="T53" s="3" t="s">
        <v>269</v>
      </c>
      <c r="X53">
        <v>95</v>
      </c>
      <c r="Z53" s="4">
        <v>95</v>
      </c>
      <c r="AA53" s="4">
        <f t="shared" si="4"/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Egalla</dc:creator>
  <cp:lastModifiedBy>Vince Egalla</cp:lastModifiedBy>
  <dcterms:created xsi:type="dcterms:W3CDTF">2020-11-30T17:48:50Z</dcterms:created>
  <dcterms:modified xsi:type="dcterms:W3CDTF">2020-12-04T03:42:26Z</dcterms:modified>
</cp:coreProperties>
</file>